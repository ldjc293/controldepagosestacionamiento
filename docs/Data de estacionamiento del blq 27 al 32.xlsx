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DE CONTROLES Y LLAVES" sheetId="1" r:id="rId4"/>
    <sheet state="visible" name="Hoja 6" sheetId="2" r:id="rId5"/>
    <sheet state="visible" name="Lista de receptores" sheetId="3" r:id="rId6"/>
  </sheets>
  <definedNames/>
  <calcPr/>
</workbook>
</file>

<file path=xl/sharedStrings.xml><?xml version="1.0" encoding="utf-8"?>
<sst xmlns="http://schemas.openxmlformats.org/spreadsheetml/2006/main" count="3212" uniqueCount="1597">
  <si>
    <t>a la venta</t>
  </si>
  <si>
    <t>CENSO</t>
  </si>
  <si>
    <t>bloqueado disleidy diaz</t>
  </si>
  <si>
    <t xml:space="preserve">84B </t>
  </si>
  <si>
    <t>221B</t>
  </si>
  <si>
    <t>222B</t>
  </si>
  <si>
    <t>BLOQUES 27 AL 32</t>
  </si>
  <si>
    <t>Alejandro Tecnico</t>
  </si>
  <si>
    <t>1B</t>
  </si>
  <si>
    <t>BLOQ.</t>
  </si>
  <si>
    <t>ESC.</t>
  </si>
  <si>
    <t>PISOS</t>
  </si>
  <si>
    <t>APTO.</t>
  </si>
  <si>
    <t>NOMBRES</t>
  </si>
  <si>
    <t>APELLIDOS</t>
  </si>
  <si>
    <t>ESTADO DE CONTROLES</t>
  </si>
  <si>
    <t>N° DE CONTROL</t>
  </si>
  <si>
    <t>N° LLAVE PEATONAL</t>
  </si>
  <si>
    <t>ref. de pago</t>
  </si>
  <si>
    <t>PB</t>
  </si>
  <si>
    <t>FERNANDO</t>
  </si>
  <si>
    <t>DOS REY</t>
  </si>
  <si>
    <t xml:space="preserve">ACTIVO </t>
  </si>
  <si>
    <t>26A</t>
  </si>
  <si>
    <t>5 $ + 40bs</t>
  </si>
  <si>
    <t>CODIFICACION DE LLAVES</t>
  </si>
  <si>
    <t>DEYSY</t>
  </si>
  <si>
    <t>CHITO</t>
  </si>
  <si>
    <t>CODIFICADAS</t>
  </si>
  <si>
    <t>EXONERADAS</t>
  </si>
  <si>
    <t xml:space="preserve">PENDIENTES </t>
  </si>
  <si>
    <t>NUEVAS</t>
  </si>
  <si>
    <t>TOTAL</t>
  </si>
  <si>
    <t>GASTOS  [$]</t>
  </si>
  <si>
    <t>RECAUDADO  [$]</t>
  </si>
  <si>
    <t>DAYANA</t>
  </si>
  <si>
    <t>ROSARIO</t>
  </si>
  <si>
    <t>ACOSTA</t>
  </si>
  <si>
    <t>199A</t>
  </si>
  <si>
    <t>166/167</t>
  </si>
  <si>
    <t>RODLANIER</t>
  </si>
  <si>
    <t>PAMELÁ</t>
  </si>
  <si>
    <t>LIGIA (DE)</t>
  </si>
  <si>
    <t>ISTURIZ</t>
  </si>
  <si>
    <t>FLOR</t>
  </si>
  <si>
    <t>HERNÁNDEZ</t>
  </si>
  <si>
    <t>MARIO</t>
  </si>
  <si>
    <t>BLOQUEADO</t>
  </si>
  <si>
    <t>53B</t>
  </si>
  <si>
    <t>ARTURO</t>
  </si>
  <si>
    <t>BORRERO</t>
  </si>
  <si>
    <t>35A</t>
  </si>
  <si>
    <t>204 / 205</t>
  </si>
  <si>
    <t xml:space="preserve">Arturo </t>
  </si>
  <si>
    <t>Borrero</t>
  </si>
  <si>
    <t>411/412/413/414</t>
  </si>
  <si>
    <t>pendiente</t>
  </si>
  <si>
    <t>MAYDE</t>
  </si>
  <si>
    <t>MADURO</t>
  </si>
  <si>
    <t>245A</t>
  </si>
  <si>
    <t xml:space="preserve">exonerada </t>
  </si>
  <si>
    <t>MERCEDES</t>
  </si>
  <si>
    <t>exonerada</t>
  </si>
  <si>
    <t>CARLOS</t>
  </si>
  <si>
    <t>TOMÁS</t>
  </si>
  <si>
    <t>llave 181 señor Jesús plomero</t>
  </si>
  <si>
    <t>cancelo 3$</t>
  </si>
  <si>
    <t>244A</t>
  </si>
  <si>
    <t>58B</t>
  </si>
  <si>
    <t>IAN</t>
  </si>
  <si>
    <t>CHIVICO</t>
  </si>
  <si>
    <t>MORALES</t>
  </si>
  <si>
    <t>216A</t>
  </si>
  <si>
    <t>pago cuenta porton</t>
  </si>
  <si>
    <t>GLADYS</t>
  </si>
  <si>
    <t>BICHOF</t>
  </si>
  <si>
    <t>IDOSELVA</t>
  </si>
  <si>
    <t>83B</t>
  </si>
  <si>
    <t xml:space="preserve">pago a cuenta del portón </t>
  </si>
  <si>
    <t>AMARILIS</t>
  </si>
  <si>
    <t>GUTIÉRREZ</t>
  </si>
  <si>
    <t>96A</t>
  </si>
  <si>
    <t>ANAIBEL</t>
  </si>
  <si>
    <t>NOHEMÍ</t>
  </si>
  <si>
    <t>43A</t>
  </si>
  <si>
    <t>2$+ 39Bs</t>
  </si>
  <si>
    <t>HERNÁNDEZ (HIJA)</t>
  </si>
  <si>
    <t>SUSPENDIDO</t>
  </si>
  <si>
    <t>44A</t>
  </si>
  <si>
    <t>NELSON</t>
  </si>
  <si>
    <t>225A</t>
  </si>
  <si>
    <t>ISTURIZ (HIJO)</t>
  </si>
  <si>
    <t>226A</t>
  </si>
  <si>
    <t>GUILLERMO</t>
  </si>
  <si>
    <t>MARY</t>
  </si>
  <si>
    <t>ELÍSEO</t>
  </si>
  <si>
    <t>126A</t>
  </si>
  <si>
    <t>MIREYA</t>
  </si>
  <si>
    <t>ANTONIO</t>
  </si>
  <si>
    <t>GABRIEL</t>
  </si>
  <si>
    <t>51A</t>
  </si>
  <si>
    <t>VACÍO</t>
  </si>
  <si>
    <t>AURISTELA</t>
  </si>
  <si>
    <t>GONCALVEZ</t>
  </si>
  <si>
    <t>75A</t>
  </si>
  <si>
    <t>JOSÉ</t>
  </si>
  <si>
    <t>76A</t>
  </si>
  <si>
    <t>JORNEY</t>
  </si>
  <si>
    <t>3/415</t>
  </si>
  <si>
    <t>albania</t>
  </si>
  <si>
    <t>lara</t>
  </si>
  <si>
    <t>javier</t>
  </si>
  <si>
    <t>sousa</t>
  </si>
  <si>
    <t>114bs efec</t>
  </si>
  <si>
    <t>CAROLINA</t>
  </si>
  <si>
    <t>OCHOA</t>
  </si>
  <si>
    <t>MARÍA</t>
  </si>
  <si>
    <t>MICHAEL</t>
  </si>
  <si>
    <t>TERIUS</t>
  </si>
  <si>
    <t>213A</t>
  </si>
  <si>
    <t>405/406/407</t>
  </si>
  <si>
    <t xml:space="preserve">pendiente </t>
  </si>
  <si>
    <t>LEIDIS</t>
  </si>
  <si>
    <t>OMAIRA</t>
  </si>
  <si>
    <t>CARVAJAL (HIJO)</t>
  </si>
  <si>
    <t>198A</t>
  </si>
  <si>
    <t>ELENA</t>
  </si>
  <si>
    <t>Baez</t>
  </si>
  <si>
    <t>JOEL</t>
  </si>
  <si>
    <t>CARVAJAL</t>
  </si>
  <si>
    <t>71B</t>
  </si>
  <si>
    <t>EVELIN</t>
  </si>
  <si>
    <t>2$+ 40bs</t>
  </si>
  <si>
    <t xml:space="preserve">JOSE </t>
  </si>
  <si>
    <t>219A</t>
  </si>
  <si>
    <t>JOSEILA</t>
  </si>
  <si>
    <t>LUGO</t>
  </si>
  <si>
    <t>AURA</t>
  </si>
  <si>
    <t>MARCHAN</t>
  </si>
  <si>
    <t>FELICIA</t>
  </si>
  <si>
    <t>97A</t>
  </si>
  <si>
    <t>72B</t>
  </si>
  <si>
    <t>124B</t>
  </si>
  <si>
    <t>WILLY</t>
  </si>
  <si>
    <t>SIVILA</t>
  </si>
  <si>
    <t>12B</t>
  </si>
  <si>
    <t>Yesica</t>
  </si>
  <si>
    <t>Nuevos</t>
  </si>
  <si>
    <t>203B</t>
  </si>
  <si>
    <t>Nuevas</t>
  </si>
  <si>
    <t>MAMERTO</t>
  </si>
  <si>
    <t>IRRAUSQUIN</t>
  </si>
  <si>
    <t>27A</t>
  </si>
  <si>
    <t>YADITZA</t>
  </si>
  <si>
    <t>15A</t>
  </si>
  <si>
    <t>35195 (Banesco )</t>
  </si>
  <si>
    <t>GLADIS</t>
  </si>
  <si>
    <t>YANIRA</t>
  </si>
  <si>
    <t>NATALY</t>
  </si>
  <si>
    <t>LISET</t>
  </si>
  <si>
    <t>MARIA</t>
  </si>
  <si>
    <t>PEREIRA</t>
  </si>
  <si>
    <t>MARIA A.</t>
  </si>
  <si>
    <t>RANDEL</t>
  </si>
  <si>
    <t>MELÉNDEZ</t>
  </si>
  <si>
    <t>ARELIS</t>
  </si>
  <si>
    <t>WILVER</t>
  </si>
  <si>
    <t>ARON</t>
  </si>
  <si>
    <t>ARIANA</t>
  </si>
  <si>
    <t>EDGARDO</t>
  </si>
  <si>
    <t>IBARRA</t>
  </si>
  <si>
    <t>38A</t>
  </si>
  <si>
    <t>JACKSON</t>
  </si>
  <si>
    <t>ILSEN</t>
  </si>
  <si>
    <t>IRMA</t>
  </si>
  <si>
    <t>CURBANIS</t>
  </si>
  <si>
    <t>LISETTE</t>
  </si>
  <si>
    <t>191A</t>
  </si>
  <si>
    <t>945 bs</t>
  </si>
  <si>
    <t>140B</t>
  </si>
  <si>
    <t xml:space="preserve">Alexander </t>
  </si>
  <si>
    <t>Escalante</t>
  </si>
  <si>
    <t>211B</t>
  </si>
  <si>
    <t>ALONZO</t>
  </si>
  <si>
    <t>GUEDEZ</t>
  </si>
  <si>
    <t>53A</t>
  </si>
  <si>
    <t>AMILCAR</t>
  </si>
  <si>
    <t>OSCAR</t>
  </si>
  <si>
    <t>ARROYO</t>
  </si>
  <si>
    <t>EGLEÉ</t>
  </si>
  <si>
    <t>GÓMEZ</t>
  </si>
  <si>
    <t>FABIOLA</t>
  </si>
  <si>
    <t xml:space="preserve">DAFNE </t>
  </si>
  <si>
    <t>YADIRA</t>
  </si>
  <si>
    <t>VEGA</t>
  </si>
  <si>
    <t>215 / 216</t>
  </si>
  <si>
    <t>WALNER</t>
  </si>
  <si>
    <t>TERESA</t>
  </si>
  <si>
    <t>VERA</t>
  </si>
  <si>
    <t xml:space="preserve">Deyani </t>
  </si>
  <si>
    <t>barreto</t>
  </si>
  <si>
    <t>434/ 435</t>
  </si>
  <si>
    <t>GREGORIO</t>
  </si>
  <si>
    <t>ZAMBRANO</t>
  </si>
  <si>
    <t>243A</t>
  </si>
  <si>
    <t>EDUARDO</t>
  </si>
  <si>
    <t>ALICIA</t>
  </si>
  <si>
    <t>HUGO</t>
  </si>
  <si>
    <t>URUBURU</t>
  </si>
  <si>
    <t>32A</t>
  </si>
  <si>
    <t>RAIZA</t>
  </si>
  <si>
    <t>JENIFER</t>
  </si>
  <si>
    <t>33A</t>
  </si>
  <si>
    <t>NICK</t>
  </si>
  <si>
    <t>LISBETH</t>
  </si>
  <si>
    <t>JOSÉ MARÍA</t>
  </si>
  <si>
    <t>SEIJA</t>
  </si>
  <si>
    <t>JOSÉ MIGUEL</t>
  </si>
  <si>
    <t>ELVIS</t>
  </si>
  <si>
    <t>84A</t>
  </si>
  <si>
    <t>AIRAM</t>
  </si>
  <si>
    <t>REINA</t>
  </si>
  <si>
    <t>MATA</t>
  </si>
  <si>
    <t>kevin</t>
  </si>
  <si>
    <t xml:space="preserve">flores </t>
  </si>
  <si>
    <t>40A</t>
  </si>
  <si>
    <t>yisbeli</t>
  </si>
  <si>
    <t>delgado</t>
  </si>
  <si>
    <t xml:space="preserve">borrar </t>
  </si>
  <si>
    <t>ALBERTINA</t>
  </si>
  <si>
    <t>LÓPEZ</t>
  </si>
  <si>
    <t>MARIALIS</t>
  </si>
  <si>
    <t>SMAIN</t>
  </si>
  <si>
    <t>74A</t>
  </si>
  <si>
    <t>113B</t>
  </si>
  <si>
    <t xml:space="preserve">JOALDY </t>
  </si>
  <si>
    <t>DEYON</t>
  </si>
  <si>
    <t>80B</t>
  </si>
  <si>
    <t>MIGUEL</t>
  </si>
  <si>
    <t>ROJAS</t>
  </si>
  <si>
    <t>MARUJA</t>
  </si>
  <si>
    <t>MARRERO</t>
  </si>
  <si>
    <t>23A</t>
  </si>
  <si>
    <t>HENRY</t>
  </si>
  <si>
    <t>SILVA</t>
  </si>
  <si>
    <t>152A</t>
  </si>
  <si>
    <t>CAROLINA (DE)</t>
  </si>
  <si>
    <t>5A</t>
  </si>
  <si>
    <t>50B</t>
  </si>
  <si>
    <t>66B</t>
  </si>
  <si>
    <t>JANETTE</t>
  </si>
  <si>
    <t>80A</t>
  </si>
  <si>
    <t xml:space="preserve">Gabriela </t>
  </si>
  <si>
    <t>Sojo</t>
  </si>
  <si>
    <t>102B</t>
  </si>
  <si>
    <t xml:space="preserve">jhoxy </t>
  </si>
  <si>
    <t xml:space="preserve">Sánchez </t>
  </si>
  <si>
    <t xml:space="preserve">nueva </t>
  </si>
  <si>
    <t>PABLO</t>
  </si>
  <si>
    <t>GARMENDIA</t>
  </si>
  <si>
    <t>PERDIDO</t>
  </si>
  <si>
    <t>131A</t>
  </si>
  <si>
    <t>86A</t>
  </si>
  <si>
    <t>YOSELIN</t>
  </si>
  <si>
    <t>29/408</t>
  </si>
  <si>
    <t>PABLIAMNI</t>
  </si>
  <si>
    <t>PABLIAMNE</t>
  </si>
  <si>
    <t xml:space="preserve">GARMENDIA </t>
  </si>
  <si>
    <t>JENNY</t>
  </si>
  <si>
    <t>114A</t>
  </si>
  <si>
    <t>ZULEIMA</t>
  </si>
  <si>
    <t>115A</t>
  </si>
  <si>
    <t>HÉCTOR</t>
  </si>
  <si>
    <t>GARCÍA</t>
  </si>
  <si>
    <t>144A</t>
  </si>
  <si>
    <t>BERTA</t>
  </si>
  <si>
    <t>jerma</t>
  </si>
  <si>
    <t>LEONELIS</t>
  </si>
  <si>
    <t>LEONET</t>
  </si>
  <si>
    <t xml:space="preserve">162B </t>
  </si>
  <si>
    <t xml:space="preserve">transferencia al porton </t>
  </si>
  <si>
    <t>ALFREDO</t>
  </si>
  <si>
    <t>NUÑEZ</t>
  </si>
  <si>
    <t>209 / 210</t>
  </si>
  <si>
    <t>YAJAIRA</t>
  </si>
  <si>
    <t>CASTILLO</t>
  </si>
  <si>
    <t>ROBERTO</t>
  </si>
  <si>
    <t>RAMÓN</t>
  </si>
  <si>
    <t>GIMÉNEZ</t>
  </si>
  <si>
    <t>RENÉ</t>
  </si>
  <si>
    <t>WILLIAN</t>
  </si>
  <si>
    <t>234A</t>
  </si>
  <si>
    <t>CARLOTA</t>
  </si>
  <si>
    <t>MAUCÓ</t>
  </si>
  <si>
    <t>49B</t>
  </si>
  <si>
    <t>352/353</t>
  </si>
  <si>
    <t>282bs</t>
  </si>
  <si>
    <t>55B</t>
  </si>
  <si>
    <t>ELVIRA</t>
  </si>
  <si>
    <t>2$ + 87070</t>
  </si>
  <si>
    <t>JOSEFA</t>
  </si>
  <si>
    <t>Esther</t>
  </si>
  <si>
    <t>RIVERO</t>
  </si>
  <si>
    <t>LILIAN</t>
  </si>
  <si>
    <t>TOCUYO</t>
  </si>
  <si>
    <t>GREGORY</t>
  </si>
  <si>
    <t xml:space="preserve">Adrian </t>
  </si>
  <si>
    <t xml:space="preserve">rivero </t>
  </si>
  <si>
    <t>HELÍMENA</t>
  </si>
  <si>
    <t>De Leon</t>
  </si>
  <si>
    <t>3B</t>
  </si>
  <si>
    <t>ELDA</t>
  </si>
  <si>
    <t>MARJORI</t>
  </si>
  <si>
    <t>De  Leon</t>
  </si>
  <si>
    <t>FRANCIS</t>
  </si>
  <si>
    <t>DE LEON</t>
  </si>
  <si>
    <t>JESÚS ALFONZO</t>
  </si>
  <si>
    <t>LIN</t>
  </si>
  <si>
    <t>ROSA</t>
  </si>
  <si>
    <t>ASTUDILLO</t>
  </si>
  <si>
    <t>PORRAS</t>
  </si>
  <si>
    <t>FARIELLA</t>
  </si>
  <si>
    <t>ENDER</t>
  </si>
  <si>
    <t>GONZALEZ</t>
  </si>
  <si>
    <t>121B</t>
  </si>
  <si>
    <t xml:space="preserve">Ender </t>
  </si>
  <si>
    <t>gonzalez</t>
  </si>
  <si>
    <t>183B</t>
  </si>
  <si>
    <t>MARLENE</t>
  </si>
  <si>
    <t>REBELLON</t>
  </si>
  <si>
    <t>activo</t>
  </si>
  <si>
    <t>5B</t>
  </si>
  <si>
    <t>TORRES</t>
  </si>
  <si>
    <t>suspendido</t>
  </si>
  <si>
    <t>139A</t>
  </si>
  <si>
    <t xml:space="preserve">Carolina </t>
  </si>
  <si>
    <t>214B</t>
  </si>
  <si>
    <t>RUIZ</t>
  </si>
  <si>
    <t>236A</t>
  </si>
  <si>
    <t>ELIZABETH</t>
  </si>
  <si>
    <t>MOCÓ</t>
  </si>
  <si>
    <t>109A</t>
  </si>
  <si>
    <t>224A</t>
  </si>
  <si>
    <t>MARIANGEL</t>
  </si>
  <si>
    <t>212A</t>
  </si>
  <si>
    <t>JULIO</t>
  </si>
  <si>
    <t>GUERRA</t>
  </si>
  <si>
    <t>ADRIANA</t>
  </si>
  <si>
    <t>CARRASQUERO</t>
  </si>
  <si>
    <t>167A</t>
  </si>
  <si>
    <t>JONNAIDY</t>
  </si>
  <si>
    <t>FAJARDO</t>
  </si>
  <si>
    <t>LUISA</t>
  </si>
  <si>
    <t>CARREÑO</t>
  </si>
  <si>
    <t>232 / 233</t>
  </si>
  <si>
    <t>MELO</t>
  </si>
  <si>
    <t>151A</t>
  </si>
  <si>
    <t>81B</t>
  </si>
  <si>
    <t>COROMOTO</t>
  </si>
  <si>
    <t>VILLANUEVA</t>
  </si>
  <si>
    <t>ALEXANDER</t>
  </si>
  <si>
    <t>ESCALANTE</t>
  </si>
  <si>
    <t>127A</t>
  </si>
  <si>
    <t>MERY</t>
  </si>
  <si>
    <t>56B</t>
  </si>
  <si>
    <t>RICHARD</t>
  </si>
  <si>
    <t>JUANA (DE)</t>
  </si>
  <si>
    <t>MERLYS</t>
  </si>
  <si>
    <t>ALEIDE</t>
  </si>
  <si>
    <t>OCANDO</t>
  </si>
  <si>
    <t>SASKIA</t>
  </si>
  <si>
    <t>PATRUYO</t>
  </si>
  <si>
    <t>149B</t>
  </si>
  <si>
    <t>213 / 214</t>
  </si>
  <si>
    <t>FRANCISCO</t>
  </si>
  <si>
    <t>COFFI</t>
  </si>
  <si>
    <t>RORAIMA</t>
  </si>
  <si>
    <t>BRIZACHAR</t>
  </si>
  <si>
    <t>ARRAIZ</t>
  </si>
  <si>
    <t>BRIGTMAR</t>
  </si>
  <si>
    <t>RUBÉN</t>
  </si>
  <si>
    <t>GUZMÁN</t>
  </si>
  <si>
    <t>NELLY</t>
  </si>
  <si>
    <t xml:space="preserve">PEDRO </t>
  </si>
  <si>
    <t>CARPIO</t>
  </si>
  <si>
    <t>181A</t>
  </si>
  <si>
    <t>176 / 177</t>
  </si>
  <si>
    <t>HERRERA</t>
  </si>
  <si>
    <t>ODALIS</t>
  </si>
  <si>
    <t>EDUARDO (NIETO)</t>
  </si>
  <si>
    <t>176B</t>
  </si>
  <si>
    <t>ALISSON</t>
  </si>
  <si>
    <t>ANDREINA</t>
  </si>
  <si>
    <t>Eduardo Padre</t>
  </si>
  <si>
    <t>herrera</t>
  </si>
  <si>
    <t>204B</t>
  </si>
  <si>
    <t>JUAN</t>
  </si>
  <si>
    <t>VALDEZ</t>
  </si>
  <si>
    <t>217A</t>
  </si>
  <si>
    <t>BLANCA</t>
  </si>
  <si>
    <t>GONZÁLEZ</t>
  </si>
  <si>
    <t>115bs</t>
  </si>
  <si>
    <t>CONRADO</t>
  </si>
  <si>
    <t>NORBERTO</t>
  </si>
  <si>
    <t>CORONADO</t>
  </si>
  <si>
    <t>143B</t>
  </si>
  <si>
    <t>ESTEFANÍA</t>
  </si>
  <si>
    <t>ANA (DE)</t>
  </si>
  <si>
    <t>CÉSAR</t>
  </si>
  <si>
    <t>RODRÍGUEZ</t>
  </si>
  <si>
    <t>184B</t>
  </si>
  <si>
    <t>MARIELY</t>
  </si>
  <si>
    <t>SANGRON</t>
  </si>
  <si>
    <t>RAFAEL</t>
  </si>
  <si>
    <t>GORRÍN</t>
  </si>
  <si>
    <t>ZULEIKA</t>
  </si>
  <si>
    <t>RÍOS</t>
  </si>
  <si>
    <t>HILDA</t>
  </si>
  <si>
    <t>FUENTES</t>
  </si>
  <si>
    <t>175B</t>
  </si>
  <si>
    <t>RAMSES</t>
  </si>
  <si>
    <t>24A</t>
  </si>
  <si>
    <t>ROSELIS</t>
  </si>
  <si>
    <t>DIAZ</t>
  </si>
  <si>
    <t>ALBA</t>
  </si>
  <si>
    <t>LUIS</t>
  </si>
  <si>
    <t>VARGAS</t>
  </si>
  <si>
    <t>CRISTOFER</t>
  </si>
  <si>
    <t>CARRERA</t>
  </si>
  <si>
    <t>186B</t>
  </si>
  <si>
    <t>MONICA</t>
  </si>
  <si>
    <t>DANIELA</t>
  </si>
  <si>
    <t>GABRIELA</t>
  </si>
  <si>
    <t>LUZMARY</t>
  </si>
  <si>
    <t>Milena</t>
  </si>
  <si>
    <t>DANIEL</t>
  </si>
  <si>
    <t>FERNÁNDEZ</t>
  </si>
  <si>
    <t xml:space="preserve">bloquear </t>
  </si>
  <si>
    <t>1A</t>
  </si>
  <si>
    <t>219B</t>
  </si>
  <si>
    <t>JOSUE</t>
  </si>
  <si>
    <t>GUTIERREZ</t>
  </si>
  <si>
    <t>20B</t>
  </si>
  <si>
    <t>JAZMÍN</t>
  </si>
  <si>
    <t>DE ANDREA</t>
  </si>
  <si>
    <t>JANSI</t>
  </si>
  <si>
    <t>ALEXANDRA</t>
  </si>
  <si>
    <t>GUSTAVO</t>
  </si>
  <si>
    <t>ESTANGA</t>
  </si>
  <si>
    <t>156A</t>
  </si>
  <si>
    <t>6B</t>
  </si>
  <si>
    <t>CONTRERAS</t>
  </si>
  <si>
    <t>ALEJANDRO</t>
  </si>
  <si>
    <t>CUEVAS</t>
  </si>
  <si>
    <t>45B</t>
  </si>
  <si>
    <t xml:space="preserve">GABRIEL </t>
  </si>
  <si>
    <t>152B</t>
  </si>
  <si>
    <t>120bs</t>
  </si>
  <si>
    <t>165B</t>
  </si>
  <si>
    <t>ODIS</t>
  </si>
  <si>
    <t xml:space="preserve">CUEVAS </t>
  </si>
  <si>
    <t>HILDEBRANDO</t>
  </si>
  <si>
    <t>64B</t>
  </si>
  <si>
    <t>EMMA</t>
  </si>
  <si>
    <t>101A</t>
  </si>
  <si>
    <t>318/319</t>
  </si>
  <si>
    <t>28A</t>
  </si>
  <si>
    <t>nuevo</t>
  </si>
  <si>
    <t>PEDRO</t>
  </si>
  <si>
    <t>87A</t>
  </si>
  <si>
    <t xml:space="preserve">pago </t>
  </si>
  <si>
    <t>RAQUEL</t>
  </si>
  <si>
    <t>RAMIREZ</t>
  </si>
  <si>
    <t>JHONNY</t>
  </si>
  <si>
    <t>COLINA</t>
  </si>
  <si>
    <t xml:space="preserve">GREG </t>
  </si>
  <si>
    <t xml:space="preserve">HERNÁNDEZ </t>
  </si>
  <si>
    <t>9B</t>
  </si>
  <si>
    <t>JOSEPH</t>
  </si>
  <si>
    <t>AZUCENA</t>
  </si>
  <si>
    <t>PACHECO</t>
  </si>
  <si>
    <t>PÉREZ</t>
  </si>
  <si>
    <t>121A</t>
  </si>
  <si>
    <t>VENDIO OJO</t>
  </si>
  <si>
    <t>DA COSTA</t>
  </si>
  <si>
    <t>31A</t>
  </si>
  <si>
    <t>28/299</t>
  </si>
  <si>
    <t>21677 + 6790</t>
  </si>
  <si>
    <t>JOSEFINA</t>
  </si>
  <si>
    <t>3A</t>
  </si>
  <si>
    <t>TAIZ</t>
  </si>
  <si>
    <t>FERNANDEZ</t>
  </si>
  <si>
    <t>ZORAIDA</t>
  </si>
  <si>
    <t>DORLE</t>
  </si>
  <si>
    <t>MEDINA</t>
  </si>
  <si>
    <t>NUEVA</t>
  </si>
  <si>
    <t>nueva</t>
  </si>
  <si>
    <t>BEATRIZ</t>
  </si>
  <si>
    <t>71A</t>
  </si>
  <si>
    <t>KAREN</t>
  </si>
  <si>
    <t>CHIRINOS</t>
  </si>
  <si>
    <t>228A</t>
  </si>
  <si>
    <t>169/170</t>
  </si>
  <si>
    <t>201B</t>
  </si>
  <si>
    <t>CRUZ MANUEL</t>
  </si>
  <si>
    <t>VELÁSQUEZ</t>
  </si>
  <si>
    <t>242A</t>
  </si>
  <si>
    <t>KENIA</t>
  </si>
  <si>
    <t>CARLOS E.</t>
  </si>
  <si>
    <t>MARTÍNEZ</t>
  </si>
  <si>
    <t>14A / 125A</t>
  </si>
  <si>
    <t>94A</t>
  </si>
  <si>
    <t>128B</t>
  </si>
  <si>
    <t xml:space="preserve">JEIMI </t>
  </si>
  <si>
    <t>21A</t>
  </si>
  <si>
    <t>416/417</t>
  </si>
  <si>
    <t>pagado</t>
  </si>
  <si>
    <t xml:space="preserve">nuevo </t>
  </si>
  <si>
    <t>JOSÉ ARMANDO</t>
  </si>
  <si>
    <t>PALACIOS</t>
  </si>
  <si>
    <t>JESÚS</t>
  </si>
  <si>
    <t>CAREMEN INÉS</t>
  </si>
  <si>
    <t>RAYLUZ</t>
  </si>
  <si>
    <t>RAYNET</t>
  </si>
  <si>
    <t>SEQUERA</t>
  </si>
  <si>
    <t>MARIANA</t>
  </si>
  <si>
    <t>MENDEZ</t>
  </si>
  <si>
    <t xml:space="preserve">RICHARD </t>
  </si>
  <si>
    <t xml:space="preserve">FLORES </t>
  </si>
  <si>
    <t>112B</t>
  </si>
  <si>
    <t>MORA</t>
  </si>
  <si>
    <t>172B</t>
  </si>
  <si>
    <t>ZAIDA</t>
  </si>
  <si>
    <t>VERDE</t>
  </si>
  <si>
    <t>105/121/122</t>
  </si>
  <si>
    <t>7879+11029</t>
  </si>
  <si>
    <t>DELIA</t>
  </si>
  <si>
    <t>NICOMEDES</t>
  </si>
  <si>
    <t>142A</t>
  </si>
  <si>
    <t>ILSE (DE)</t>
  </si>
  <si>
    <t>211A</t>
  </si>
  <si>
    <t>143A</t>
  </si>
  <si>
    <t>vilsen</t>
  </si>
  <si>
    <t xml:space="preserve">Contreras </t>
  </si>
  <si>
    <t>NICOLE</t>
  </si>
  <si>
    <t>JEYLIN</t>
  </si>
  <si>
    <t>160B</t>
  </si>
  <si>
    <t>VICTOR</t>
  </si>
  <si>
    <t>JIMÉNEZ</t>
  </si>
  <si>
    <t>184A</t>
  </si>
  <si>
    <t>EVA</t>
  </si>
  <si>
    <t>PARRA</t>
  </si>
  <si>
    <t>180/386</t>
  </si>
  <si>
    <t>FRANKLIN</t>
  </si>
  <si>
    <t>CARMEN</t>
  </si>
  <si>
    <t>PLATER</t>
  </si>
  <si>
    <t xml:space="preserve">YANEZ </t>
  </si>
  <si>
    <t>104A</t>
  </si>
  <si>
    <t>DANILO</t>
  </si>
  <si>
    <t>YANEZ</t>
  </si>
  <si>
    <t>MAYRA</t>
  </si>
  <si>
    <t>FLORES</t>
  </si>
  <si>
    <t>PIÑA</t>
  </si>
  <si>
    <t>260 / 261</t>
  </si>
  <si>
    <t>230bs</t>
  </si>
  <si>
    <t>NOELIS</t>
  </si>
  <si>
    <t>CARLOS ISAAC</t>
  </si>
  <si>
    <t>246A</t>
  </si>
  <si>
    <t>SAÚL</t>
  </si>
  <si>
    <t>DAVID</t>
  </si>
  <si>
    <t>RAMÓN (hijo)</t>
  </si>
  <si>
    <t>166A</t>
  </si>
  <si>
    <t xml:space="preserve">LUISA </t>
  </si>
  <si>
    <t xml:space="preserve">MARTINEZ </t>
  </si>
  <si>
    <t xml:space="preserve">GUSTAVO </t>
  </si>
  <si>
    <t>OLIDER</t>
  </si>
  <si>
    <t>233A</t>
  </si>
  <si>
    <t>pagada</t>
  </si>
  <si>
    <t>PIÑANGO</t>
  </si>
  <si>
    <t>73A</t>
  </si>
  <si>
    <t>KARINA</t>
  </si>
  <si>
    <t>CHAVEZ</t>
  </si>
  <si>
    <t>182, 183</t>
  </si>
  <si>
    <t xml:space="preserve">230bs </t>
  </si>
  <si>
    <t>92B</t>
  </si>
  <si>
    <t xml:space="preserve">FRAN </t>
  </si>
  <si>
    <t xml:space="preserve">MENDOZA </t>
  </si>
  <si>
    <t>61A</t>
  </si>
  <si>
    <t>KAIRA</t>
  </si>
  <si>
    <t>CLEMAND</t>
  </si>
  <si>
    <t>REINALDO</t>
  </si>
  <si>
    <t>ARENAS</t>
  </si>
  <si>
    <t>197A</t>
  </si>
  <si>
    <t>Reinaldo</t>
  </si>
  <si>
    <t>Arenas</t>
  </si>
  <si>
    <t>57A</t>
  </si>
  <si>
    <t>PATRICIA (DE)</t>
  </si>
  <si>
    <t>JUAN PABLO</t>
  </si>
  <si>
    <t xml:space="preserve">Adriana </t>
  </si>
  <si>
    <t>389, 392, 393, 394</t>
  </si>
  <si>
    <t>ELSA (DE)</t>
  </si>
  <si>
    <t>DOUGLAS</t>
  </si>
  <si>
    <t>DUYANET</t>
  </si>
  <si>
    <t>DULCE</t>
  </si>
  <si>
    <t>MUÑOZ</t>
  </si>
  <si>
    <t xml:space="preserve">DULCE	</t>
  </si>
  <si>
    <t>36A</t>
  </si>
  <si>
    <t>RONNY</t>
  </si>
  <si>
    <t xml:space="preserve">WILLIAM </t>
  </si>
  <si>
    <t>GUEVARA</t>
  </si>
  <si>
    <t xml:space="preserve">YULI </t>
  </si>
  <si>
    <t xml:space="preserve">Nueva </t>
  </si>
  <si>
    <t>JIMY</t>
  </si>
  <si>
    <t>BÁRBARA (DE)</t>
  </si>
  <si>
    <t>JUAN CARLOS</t>
  </si>
  <si>
    <t>112A</t>
  </si>
  <si>
    <t>JEISI</t>
  </si>
  <si>
    <t>MILAGROS</t>
  </si>
  <si>
    <t>ARTEAGA</t>
  </si>
  <si>
    <t>MAYELA</t>
  </si>
  <si>
    <t>EDGARD</t>
  </si>
  <si>
    <t xml:space="preserve">RONMER </t>
  </si>
  <si>
    <t>154B</t>
  </si>
  <si>
    <t>CECILIO</t>
  </si>
  <si>
    <t>BOADA</t>
  </si>
  <si>
    <t>402/403/404</t>
  </si>
  <si>
    <t xml:space="preserve">Luis </t>
  </si>
  <si>
    <t>Planchez</t>
  </si>
  <si>
    <t>NERITA</t>
  </si>
  <si>
    <t>GUILLEN</t>
  </si>
  <si>
    <t>138B</t>
  </si>
  <si>
    <t>HELEN</t>
  </si>
  <si>
    <t>DAZA</t>
  </si>
  <si>
    <t>MARTÍN</t>
  </si>
  <si>
    <t>PADILLA</t>
  </si>
  <si>
    <t>MANUEL</t>
  </si>
  <si>
    <t>TISBET</t>
  </si>
  <si>
    <t>ANTELIS</t>
  </si>
  <si>
    <t>falta 1$</t>
  </si>
  <si>
    <t>ARECIO</t>
  </si>
  <si>
    <t>YELITZA</t>
  </si>
  <si>
    <t>BIANCO</t>
  </si>
  <si>
    <t>10A</t>
  </si>
  <si>
    <t>TOMMY</t>
  </si>
  <si>
    <t>CALLER</t>
  </si>
  <si>
    <t>FREDDY</t>
  </si>
  <si>
    <t>CHACÓN</t>
  </si>
  <si>
    <t>Pagada</t>
  </si>
  <si>
    <t xml:space="preserve">Nelly </t>
  </si>
  <si>
    <t xml:space="preserve">Chacon </t>
  </si>
  <si>
    <t>MARIANGELA</t>
  </si>
  <si>
    <t xml:space="preserve">178B </t>
  </si>
  <si>
    <t>217 / 218/ 385</t>
  </si>
  <si>
    <t>13$ + 5277 cta. porton</t>
  </si>
  <si>
    <t>Mariangela</t>
  </si>
  <si>
    <t xml:space="preserve">213B </t>
  </si>
  <si>
    <t xml:space="preserve">385 perdida </t>
  </si>
  <si>
    <t>NOEMÍ</t>
  </si>
  <si>
    <t>ORELLANA</t>
  </si>
  <si>
    <t>OSDALIS</t>
  </si>
  <si>
    <t>MURCIA</t>
  </si>
  <si>
    <t>60B</t>
  </si>
  <si>
    <t>DENISE</t>
  </si>
  <si>
    <t>7A</t>
  </si>
  <si>
    <t>52A</t>
  </si>
  <si>
    <t>4B</t>
  </si>
  <si>
    <t xml:space="preserve">VICTOR </t>
  </si>
  <si>
    <t>VIEIRA</t>
  </si>
  <si>
    <t>6A</t>
  </si>
  <si>
    <t>82A</t>
  </si>
  <si>
    <t>59B</t>
  </si>
  <si>
    <t xml:space="preserve">liduvina </t>
  </si>
  <si>
    <t>199B</t>
  </si>
  <si>
    <t>351/409</t>
  </si>
  <si>
    <t>perdidos</t>
  </si>
  <si>
    <t>120A</t>
  </si>
  <si>
    <t>LEONARDO</t>
  </si>
  <si>
    <t xml:space="preserve">MAILYN </t>
  </si>
  <si>
    <t xml:space="preserve">115bs </t>
  </si>
  <si>
    <t>MARJORIE</t>
  </si>
  <si>
    <t>DÍAZ</t>
  </si>
  <si>
    <t>38B</t>
  </si>
  <si>
    <t>OLLOA</t>
  </si>
  <si>
    <t>MARÍA ALEJANDRA</t>
  </si>
  <si>
    <t>LA CRUZ</t>
  </si>
  <si>
    <t>ORIANA</t>
  </si>
  <si>
    <t>MEZA</t>
  </si>
  <si>
    <t>MARITZA</t>
  </si>
  <si>
    <t>57B</t>
  </si>
  <si>
    <t>61B</t>
  </si>
  <si>
    <t>ZAPATA</t>
  </si>
  <si>
    <t>JOHANA</t>
  </si>
  <si>
    <t>PEREZ</t>
  </si>
  <si>
    <t>206A</t>
  </si>
  <si>
    <t xml:space="preserve">toro </t>
  </si>
  <si>
    <t>CANDIDA</t>
  </si>
  <si>
    <t>MACHADO</t>
  </si>
  <si>
    <t>VICTOR MANUEL</t>
  </si>
  <si>
    <t>NAYARI</t>
  </si>
  <si>
    <t>BORJAS</t>
  </si>
  <si>
    <t>23B</t>
  </si>
  <si>
    <t>LUIS MANUEL</t>
  </si>
  <si>
    <t>RICO</t>
  </si>
  <si>
    <t>ÁNGEL</t>
  </si>
  <si>
    <t>248A</t>
  </si>
  <si>
    <t>139B</t>
  </si>
  <si>
    <t>247A</t>
  </si>
  <si>
    <t>140 / 141/345</t>
  </si>
  <si>
    <t>6$+110bs</t>
  </si>
  <si>
    <t>ADELFA</t>
  </si>
  <si>
    <t>CAMACHO</t>
  </si>
  <si>
    <t>HIJO</t>
  </si>
  <si>
    <t>RANIER</t>
  </si>
  <si>
    <t>MALAVE</t>
  </si>
  <si>
    <t>88A</t>
  </si>
  <si>
    <t>DARLIS</t>
  </si>
  <si>
    <t>LANDAETA</t>
  </si>
  <si>
    <t>GERARDO</t>
  </si>
  <si>
    <t>ALEXIA G</t>
  </si>
  <si>
    <t>Jexi</t>
  </si>
  <si>
    <t>Mujica</t>
  </si>
  <si>
    <t>ALEXIA</t>
  </si>
  <si>
    <t>NASAU</t>
  </si>
  <si>
    <t>MANRIQUE</t>
  </si>
  <si>
    <t>161B</t>
  </si>
  <si>
    <t>MARIÚ</t>
  </si>
  <si>
    <t>OVIEDO</t>
  </si>
  <si>
    <t>107A</t>
  </si>
  <si>
    <t>184 / 185</t>
  </si>
  <si>
    <t>93913 (banesco)</t>
  </si>
  <si>
    <t>OLGA</t>
  </si>
  <si>
    <t>108A</t>
  </si>
  <si>
    <t>QUIJANO</t>
  </si>
  <si>
    <t>PAGO ALOIS</t>
  </si>
  <si>
    <t>TESLA</t>
  </si>
  <si>
    <t>IZAGUIRRE</t>
  </si>
  <si>
    <t>BRAVO</t>
  </si>
  <si>
    <t>YAILÍN</t>
  </si>
  <si>
    <t>ORTEGA</t>
  </si>
  <si>
    <t>YARINA</t>
  </si>
  <si>
    <t xml:space="preserve">yaider </t>
  </si>
  <si>
    <t xml:space="preserve">nomar </t>
  </si>
  <si>
    <t>bravo</t>
  </si>
  <si>
    <t>HAIDEÉ</t>
  </si>
  <si>
    <t>FALCÓN</t>
  </si>
  <si>
    <t>4A</t>
  </si>
  <si>
    <t>45-46</t>
  </si>
  <si>
    <t>FRANK</t>
  </si>
  <si>
    <t>169A</t>
  </si>
  <si>
    <t xml:space="preserve">chabela </t>
  </si>
  <si>
    <t>LOZADA</t>
  </si>
  <si>
    <t>122B</t>
  </si>
  <si>
    <t>BELKIS</t>
  </si>
  <si>
    <t xml:space="preserve">JUANBER </t>
  </si>
  <si>
    <t xml:space="preserve">LOZADA </t>
  </si>
  <si>
    <t>205B</t>
  </si>
  <si>
    <t xml:space="preserve">pagado </t>
  </si>
  <si>
    <t xml:space="preserve">LEONARDO </t>
  </si>
  <si>
    <t>johendry</t>
  </si>
  <si>
    <t>blq 24</t>
  </si>
  <si>
    <t>103B</t>
  </si>
  <si>
    <t>GLEISY</t>
  </si>
  <si>
    <t>APARICIO</t>
  </si>
  <si>
    <t>SOFIA</t>
  </si>
  <si>
    <t xml:space="preserve">hernan </t>
  </si>
  <si>
    <t xml:space="preserve">Olivar </t>
  </si>
  <si>
    <t>48A</t>
  </si>
  <si>
    <t>49A</t>
  </si>
  <si>
    <t>OSMELY</t>
  </si>
  <si>
    <t>SECCIÓN</t>
  </si>
  <si>
    <t>JESUS</t>
  </si>
  <si>
    <t>CASTRO</t>
  </si>
  <si>
    <t>171B</t>
  </si>
  <si>
    <t>EMILSE</t>
  </si>
  <si>
    <t>UZCATEGUI</t>
  </si>
  <si>
    <t>156/157</t>
  </si>
  <si>
    <t>EXONERADA/ 02599</t>
  </si>
  <si>
    <t>MUJICA</t>
  </si>
  <si>
    <t>7B</t>
  </si>
  <si>
    <t>309/310</t>
  </si>
  <si>
    <t>NURY</t>
  </si>
  <si>
    <t>PERDOMO</t>
  </si>
  <si>
    <t>NINA</t>
  </si>
  <si>
    <t>ALÍ</t>
  </si>
  <si>
    <t>SMAHIN</t>
  </si>
  <si>
    <t>SAA</t>
  </si>
  <si>
    <t>ALINA</t>
  </si>
  <si>
    <t>GABRIEL (CHIPI)</t>
  </si>
  <si>
    <t>CEDEÑO</t>
  </si>
  <si>
    <t>194B</t>
  </si>
  <si>
    <t>Geyskel</t>
  </si>
  <si>
    <t>215b</t>
  </si>
  <si>
    <t>MIRIAM</t>
  </si>
  <si>
    <t>DOMINGUEZ</t>
  </si>
  <si>
    <t>CECILIA</t>
  </si>
  <si>
    <t>NIEVES</t>
  </si>
  <si>
    <t>Roinel</t>
  </si>
  <si>
    <t>Acosta</t>
  </si>
  <si>
    <t>207A</t>
  </si>
  <si>
    <t>65321+5$</t>
  </si>
  <si>
    <t>DARLING</t>
  </si>
  <si>
    <t>VIVAS</t>
  </si>
  <si>
    <t>90A</t>
  </si>
  <si>
    <t>208A</t>
  </si>
  <si>
    <t>208B</t>
  </si>
  <si>
    <t xml:space="preserve">alexander </t>
  </si>
  <si>
    <t>molina</t>
  </si>
  <si>
    <t>175A</t>
  </si>
  <si>
    <t>328/329/330</t>
  </si>
  <si>
    <t xml:space="preserve">REBECA </t>
  </si>
  <si>
    <t>AILIN</t>
  </si>
  <si>
    <t>133A</t>
  </si>
  <si>
    <t>SAMUEL</t>
  </si>
  <si>
    <t>MARTINEZ</t>
  </si>
  <si>
    <t>PAVÁN</t>
  </si>
  <si>
    <t>41A</t>
  </si>
  <si>
    <t>Maria Fernanda</t>
  </si>
  <si>
    <t>ACERO</t>
  </si>
  <si>
    <t xml:space="preserve">MELISSA </t>
  </si>
  <si>
    <t>RODRIGUEZ</t>
  </si>
  <si>
    <t>12A</t>
  </si>
  <si>
    <t>258 / 259</t>
  </si>
  <si>
    <t>197B</t>
  </si>
  <si>
    <t>7958</t>
  </si>
  <si>
    <t xml:space="preserve">VERAMENDI </t>
  </si>
  <si>
    <t>17A</t>
  </si>
  <si>
    <t>56-58</t>
  </si>
  <si>
    <t>ALARCÓN</t>
  </si>
  <si>
    <t>130A</t>
  </si>
  <si>
    <t xml:space="preserve">CARLOS </t>
  </si>
  <si>
    <t>ALVARADO</t>
  </si>
  <si>
    <t>129A</t>
  </si>
  <si>
    <t>142B</t>
  </si>
  <si>
    <t>AMUNDARAY</t>
  </si>
  <si>
    <t>99A</t>
  </si>
  <si>
    <t xml:space="preserve">NEYLIS </t>
  </si>
  <si>
    <t>SILVERA</t>
  </si>
  <si>
    <t>VIRGINIA</t>
  </si>
  <si>
    <t>163A</t>
  </si>
  <si>
    <t>WILMER</t>
  </si>
  <si>
    <t>BONALDE</t>
  </si>
  <si>
    <t>LIVIA (DE)</t>
  </si>
  <si>
    <t>161A</t>
  </si>
  <si>
    <t xml:space="preserve">DIAZ </t>
  </si>
  <si>
    <t>162A</t>
  </si>
  <si>
    <t xml:space="preserve">livia </t>
  </si>
  <si>
    <t xml:space="preserve">de díaz </t>
  </si>
  <si>
    <t>209A</t>
  </si>
  <si>
    <t>MARTÍNEZ D.</t>
  </si>
  <si>
    <t>69A</t>
  </si>
  <si>
    <t xml:space="preserve">DANIELA </t>
  </si>
  <si>
    <t xml:space="preserve">MARTÍNEZ </t>
  </si>
  <si>
    <t>68A</t>
  </si>
  <si>
    <t>JACKELINE</t>
  </si>
  <si>
    <t>67A</t>
  </si>
  <si>
    <t>20A</t>
  </si>
  <si>
    <t>187B</t>
  </si>
  <si>
    <t>WILFREDO</t>
  </si>
  <si>
    <t>VALE</t>
  </si>
  <si>
    <t>DINO</t>
  </si>
  <si>
    <t>63A</t>
  </si>
  <si>
    <t>ARISMENDI</t>
  </si>
  <si>
    <t>GIANLUIGI</t>
  </si>
  <si>
    <t xml:space="preserve">DARMA </t>
  </si>
  <si>
    <t>Fabiola</t>
  </si>
  <si>
    <t>GLORIA</t>
  </si>
  <si>
    <t>DELGADO</t>
  </si>
  <si>
    <t>30A</t>
  </si>
  <si>
    <t>120B</t>
  </si>
  <si>
    <t>185A</t>
  </si>
  <si>
    <t xml:space="preserve">EMPERATRIZ </t>
  </si>
  <si>
    <t>206B</t>
  </si>
  <si>
    <t>PEDRO  (hijo)</t>
  </si>
  <si>
    <t xml:space="preserve">MATA </t>
  </si>
  <si>
    <t>INDALEZA</t>
  </si>
  <si>
    <t>MEJÍAS</t>
  </si>
  <si>
    <t>173A</t>
  </si>
  <si>
    <t>112/113/114/ 115</t>
  </si>
  <si>
    <t>VILLEGAS</t>
  </si>
  <si>
    <t>92A</t>
  </si>
  <si>
    <t xml:space="preserve">preguntar por controles </t>
  </si>
  <si>
    <t>liduvina</t>
  </si>
  <si>
    <t>398/399</t>
  </si>
  <si>
    <t>NESTOR</t>
  </si>
  <si>
    <t>MARY (DE)</t>
  </si>
  <si>
    <t xml:space="preserve">FRANKLIN </t>
  </si>
  <si>
    <t>183A</t>
  </si>
  <si>
    <t xml:space="preserve">BETZAIDA </t>
  </si>
  <si>
    <t>MARIBEL</t>
  </si>
  <si>
    <t>ANGELO</t>
  </si>
  <si>
    <t>83A</t>
  </si>
  <si>
    <t>93B</t>
  </si>
  <si>
    <t>VINCENCIO</t>
  </si>
  <si>
    <t>113A</t>
  </si>
  <si>
    <t>HAIDEÉ (DE)</t>
  </si>
  <si>
    <t>100B</t>
  </si>
  <si>
    <t>valeria</t>
  </si>
  <si>
    <t xml:space="preserve">ASTUDILLO </t>
  </si>
  <si>
    <t>Pagada porton</t>
  </si>
  <si>
    <t>ELSA</t>
  </si>
  <si>
    <t>187A</t>
  </si>
  <si>
    <t>114B</t>
  </si>
  <si>
    <t xml:space="preserve">BETTY </t>
  </si>
  <si>
    <t>PRIETO</t>
  </si>
  <si>
    <t>210A</t>
  </si>
  <si>
    <t xml:space="preserve">genesis </t>
  </si>
  <si>
    <t>PIÑATE</t>
  </si>
  <si>
    <t>64A</t>
  </si>
  <si>
    <t>GUSTAVO (HIJO)</t>
  </si>
  <si>
    <t>MÚJICA</t>
  </si>
  <si>
    <t>INGRID</t>
  </si>
  <si>
    <t>VÍCTOR</t>
  </si>
  <si>
    <t>BEATRÍZ</t>
  </si>
  <si>
    <t>JACQUELÍN</t>
  </si>
  <si>
    <t>SOJO</t>
  </si>
  <si>
    <t>75B</t>
  </si>
  <si>
    <t>136A</t>
  </si>
  <si>
    <t xml:space="preserve">Daniela </t>
  </si>
  <si>
    <t>Duno</t>
  </si>
  <si>
    <t>137A</t>
  </si>
  <si>
    <t xml:space="preserve">120 bs al portón </t>
  </si>
  <si>
    <t>138A</t>
  </si>
  <si>
    <t>ZULY</t>
  </si>
  <si>
    <t>MENDOZA</t>
  </si>
  <si>
    <t>5$ + 47386</t>
  </si>
  <si>
    <t>VALENTINA</t>
  </si>
  <si>
    <t>ESPINOZA</t>
  </si>
  <si>
    <t>18A</t>
  </si>
  <si>
    <t>172/383</t>
  </si>
  <si>
    <t>PUERTAS</t>
  </si>
  <si>
    <t>117A</t>
  </si>
  <si>
    <t>YARENI</t>
  </si>
  <si>
    <t>AGÜERO</t>
  </si>
  <si>
    <t>ARACELIS</t>
  </si>
  <si>
    <t>172A</t>
  </si>
  <si>
    <t>ERIKA</t>
  </si>
  <si>
    <t>JHOSEPH</t>
  </si>
  <si>
    <t>ARQUIMIDES</t>
  </si>
  <si>
    <t>146B</t>
  </si>
  <si>
    <t>PAREDES</t>
  </si>
  <si>
    <t>INGIRID</t>
  </si>
  <si>
    <t>CACERES</t>
  </si>
  <si>
    <t>110A</t>
  </si>
  <si>
    <t>PADRINO</t>
  </si>
  <si>
    <t>43B</t>
  </si>
  <si>
    <t>73B</t>
  </si>
  <si>
    <t>74B</t>
  </si>
  <si>
    <t>GLENDA</t>
  </si>
  <si>
    <t>116A</t>
  </si>
  <si>
    <t>MARIETTA</t>
  </si>
  <si>
    <t>GOUVEIA</t>
  </si>
  <si>
    <t>GLEISYS</t>
  </si>
  <si>
    <t>173B</t>
  </si>
  <si>
    <t>174B</t>
  </si>
  <si>
    <t>188B</t>
  </si>
  <si>
    <t>16A</t>
  </si>
  <si>
    <t>SANCHEZ</t>
  </si>
  <si>
    <t>174A</t>
  </si>
  <si>
    <t>DORIS</t>
  </si>
  <si>
    <t>13A</t>
  </si>
  <si>
    <t>SANCHEZ (HIJO)</t>
  </si>
  <si>
    <t>GAMBOA</t>
  </si>
  <si>
    <t>130B</t>
  </si>
  <si>
    <t>Fanny</t>
  </si>
  <si>
    <t>BARRAEZ</t>
  </si>
  <si>
    <t>66A</t>
  </si>
  <si>
    <t>URDANETA</t>
  </si>
  <si>
    <t>106A</t>
  </si>
  <si>
    <t>JAVIER</t>
  </si>
  <si>
    <t>123B</t>
  </si>
  <si>
    <t>JONATHAN</t>
  </si>
  <si>
    <t>178A</t>
  </si>
  <si>
    <t>GENESIS</t>
  </si>
  <si>
    <t>ANA</t>
  </si>
  <si>
    <t>QUINTERO</t>
  </si>
  <si>
    <t>TERÁN</t>
  </si>
  <si>
    <t>153A</t>
  </si>
  <si>
    <t>113BS</t>
  </si>
  <si>
    <t>MELY (DE)</t>
  </si>
  <si>
    <t>100A</t>
  </si>
  <si>
    <t>TERÁN (HIJO)</t>
  </si>
  <si>
    <t>APONTE</t>
  </si>
  <si>
    <t>62A</t>
  </si>
  <si>
    <t>89B</t>
  </si>
  <si>
    <t>115B</t>
  </si>
  <si>
    <t>PEDRO (HIJO)</t>
  </si>
  <si>
    <t>231A</t>
  </si>
  <si>
    <t>carolina</t>
  </si>
  <si>
    <t>Piñate</t>
  </si>
  <si>
    <t>59A</t>
  </si>
  <si>
    <t>VÁSQUEZ</t>
  </si>
  <si>
    <t>22A</t>
  </si>
  <si>
    <t>240A</t>
  </si>
  <si>
    <t>MARÍA (DE)</t>
  </si>
  <si>
    <t>DEWIS</t>
  </si>
  <si>
    <t>DURÁN</t>
  </si>
  <si>
    <t>REGSY</t>
  </si>
  <si>
    <t>97B</t>
  </si>
  <si>
    <t>RAMOS</t>
  </si>
  <si>
    <t>55A</t>
  </si>
  <si>
    <t>ALVARO</t>
  </si>
  <si>
    <t>54A</t>
  </si>
  <si>
    <t>OMAIRA (DE)</t>
  </si>
  <si>
    <t>MERLO</t>
  </si>
  <si>
    <t>LORENA</t>
  </si>
  <si>
    <t>Gelvis</t>
  </si>
  <si>
    <t>MERLO (HIJO)</t>
  </si>
  <si>
    <t xml:space="preserve">Bloquear </t>
  </si>
  <si>
    <t>202B</t>
  </si>
  <si>
    <t>217B</t>
  </si>
  <si>
    <t>MIRNA</t>
  </si>
  <si>
    <t>SEIJAS</t>
  </si>
  <si>
    <t>ALMIR</t>
  </si>
  <si>
    <t>158B</t>
  </si>
  <si>
    <t>perdido</t>
  </si>
  <si>
    <t>78A</t>
  </si>
  <si>
    <t>216B</t>
  </si>
  <si>
    <t>ALVARO (HIJO)</t>
  </si>
  <si>
    <t>163B</t>
  </si>
  <si>
    <t>157B</t>
  </si>
  <si>
    <t>Alvaro (hijo)</t>
  </si>
  <si>
    <t xml:space="preserve">Parra </t>
  </si>
  <si>
    <t>72A</t>
  </si>
  <si>
    <t>Mercedes</t>
  </si>
  <si>
    <t>150bs</t>
  </si>
  <si>
    <t>Angélica</t>
  </si>
  <si>
    <t>Ibarra</t>
  </si>
  <si>
    <t>60A</t>
  </si>
  <si>
    <t xml:space="preserve">NORMA </t>
  </si>
  <si>
    <t>DE QUERALES</t>
  </si>
  <si>
    <t xml:space="preserve">HAILER </t>
  </si>
  <si>
    <t>QUERALES</t>
  </si>
  <si>
    <t>29A</t>
  </si>
  <si>
    <t>41B</t>
  </si>
  <si>
    <t>CARRASQUEL</t>
  </si>
  <si>
    <t>JACKELIN</t>
  </si>
  <si>
    <t>CALDERÓN</t>
  </si>
  <si>
    <t>223A</t>
  </si>
  <si>
    <t>52B</t>
  </si>
  <si>
    <t>EVELIA</t>
  </si>
  <si>
    <t>Carlos</t>
  </si>
  <si>
    <t>Hidalgo</t>
  </si>
  <si>
    <t>17B</t>
  </si>
  <si>
    <t>420/421</t>
  </si>
  <si>
    <t xml:space="preserve"> vecino nuevo </t>
  </si>
  <si>
    <t>ZORRILLA</t>
  </si>
  <si>
    <t>118A</t>
  </si>
  <si>
    <t>DALIA</t>
  </si>
  <si>
    <t>SOLÓRZANO</t>
  </si>
  <si>
    <t>165A</t>
  </si>
  <si>
    <t>JOSBERLING</t>
  </si>
  <si>
    <t>JAIME</t>
  </si>
  <si>
    <t>IRIS</t>
  </si>
  <si>
    <t>GASSETTE</t>
  </si>
  <si>
    <t>98A</t>
  </si>
  <si>
    <t>ALCALA</t>
  </si>
  <si>
    <t>Adelaida</t>
  </si>
  <si>
    <t>Machado</t>
  </si>
  <si>
    <t>Isrrael</t>
  </si>
  <si>
    <t>Cedeño</t>
  </si>
  <si>
    <t xml:space="preserve">perdida bloquear </t>
  </si>
  <si>
    <t>36B</t>
  </si>
  <si>
    <t>BLANCO</t>
  </si>
  <si>
    <t>KARELIS</t>
  </si>
  <si>
    <t>NALVY</t>
  </si>
  <si>
    <t>COLL</t>
  </si>
  <si>
    <t>YOSMARY</t>
  </si>
  <si>
    <t>ACEITUNO</t>
  </si>
  <si>
    <t>65A</t>
  </si>
  <si>
    <t>193A</t>
  </si>
  <si>
    <t>ADRIAN</t>
  </si>
  <si>
    <t>GLENDYS</t>
  </si>
  <si>
    <t>GIL</t>
  </si>
  <si>
    <t>159A</t>
  </si>
  <si>
    <t>18-19</t>
  </si>
  <si>
    <t>MALDONADO</t>
  </si>
  <si>
    <t>Tovar</t>
  </si>
  <si>
    <t>Roberto</t>
  </si>
  <si>
    <t>Alarcon</t>
  </si>
  <si>
    <t>BASTIDAS</t>
  </si>
  <si>
    <t>PINEDA</t>
  </si>
  <si>
    <t>HILTULIZ</t>
  </si>
  <si>
    <t>RICARDO</t>
  </si>
  <si>
    <t>CALÉ</t>
  </si>
  <si>
    <t>KARÍN</t>
  </si>
  <si>
    <t>CURIEL</t>
  </si>
  <si>
    <t>19B</t>
  </si>
  <si>
    <t>301 / 302</t>
  </si>
  <si>
    <t>46A</t>
  </si>
  <si>
    <t>52 / 304/ 305</t>
  </si>
  <si>
    <t>81683+6$</t>
  </si>
  <si>
    <t>MIRIAN</t>
  </si>
  <si>
    <t>ALMENAR</t>
  </si>
  <si>
    <t xml:space="preserve">ERICH </t>
  </si>
  <si>
    <t>PEÑA</t>
  </si>
  <si>
    <t>215A</t>
  </si>
  <si>
    <t>164B</t>
  </si>
  <si>
    <t>141A</t>
  </si>
  <si>
    <t>110BS</t>
  </si>
  <si>
    <t>154A</t>
  </si>
  <si>
    <t>JANETH</t>
  </si>
  <si>
    <t>188A</t>
  </si>
  <si>
    <t xml:space="preserve">SOUMER </t>
  </si>
  <si>
    <t>GOMEZ</t>
  </si>
  <si>
    <t>210B</t>
  </si>
  <si>
    <t>94B</t>
  </si>
  <si>
    <t>(Daniel)</t>
  </si>
  <si>
    <t xml:space="preserve">GLENDA </t>
  </si>
  <si>
    <t>REVERAND</t>
  </si>
  <si>
    <t>107B</t>
  </si>
  <si>
    <t xml:space="preserve">DAVID </t>
  </si>
  <si>
    <t>177B</t>
  </si>
  <si>
    <t>180B</t>
  </si>
  <si>
    <t>Gabriel</t>
  </si>
  <si>
    <t>Reverand</t>
  </si>
  <si>
    <t>207B</t>
  </si>
  <si>
    <t>11A</t>
  </si>
  <si>
    <t>MAYLIN</t>
  </si>
  <si>
    <t>58A</t>
  </si>
  <si>
    <t>HEIDY</t>
  </si>
  <si>
    <t>BRITO</t>
  </si>
  <si>
    <t>200B</t>
  </si>
  <si>
    <t>101 / 255</t>
  </si>
  <si>
    <t>69990 / 36023</t>
  </si>
  <si>
    <t>ROA</t>
  </si>
  <si>
    <t>119A</t>
  </si>
  <si>
    <t>GABRIEL (PIRULO)</t>
  </si>
  <si>
    <t>182A</t>
  </si>
  <si>
    <t>34B</t>
  </si>
  <si>
    <t xml:space="preserve">DE BRITO </t>
  </si>
  <si>
    <t xml:space="preserve">Valeria </t>
  </si>
  <si>
    <t>Roa</t>
  </si>
  <si>
    <t>PEDRO (PAPA)</t>
  </si>
  <si>
    <t>56A</t>
  </si>
  <si>
    <t xml:space="preserve">Pedro </t>
  </si>
  <si>
    <t>Ramos</t>
  </si>
  <si>
    <t xml:space="preserve">TEODORA </t>
  </si>
  <si>
    <t>ESTEVES</t>
  </si>
  <si>
    <t>140A</t>
  </si>
  <si>
    <t>155A</t>
  </si>
  <si>
    <t>85A</t>
  </si>
  <si>
    <t>JOAN</t>
  </si>
  <si>
    <t>FELIPE</t>
  </si>
  <si>
    <t>MARISOL</t>
  </si>
  <si>
    <t>CORDERO</t>
  </si>
  <si>
    <t>AMBAR</t>
  </si>
  <si>
    <t xml:space="preserve"> BERNE</t>
  </si>
  <si>
    <t>132A</t>
  </si>
  <si>
    <t>BERNE</t>
  </si>
  <si>
    <t>212B</t>
  </si>
  <si>
    <t>DEISY</t>
  </si>
  <si>
    <t>85B</t>
  </si>
  <si>
    <t>ISIDRA (DE)</t>
  </si>
  <si>
    <t>CRESPO</t>
  </si>
  <si>
    <t>190A</t>
  </si>
  <si>
    <t>32B</t>
  </si>
  <si>
    <t xml:space="preserve">226/ 227 / 228/ 229 </t>
  </si>
  <si>
    <t>10$ + 76bs</t>
  </si>
  <si>
    <t>dif 24</t>
  </si>
  <si>
    <t>78B</t>
  </si>
  <si>
    <t>JOSÉ JESÚS</t>
  </si>
  <si>
    <t xml:space="preserve">WILFREDO </t>
  </si>
  <si>
    <t>LAMUS</t>
  </si>
  <si>
    <t>176A</t>
  </si>
  <si>
    <t>OLIVIER</t>
  </si>
  <si>
    <t>123A</t>
  </si>
  <si>
    <t xml:space="preserve">tina </t>
  </si>
  <si>
    <t>sarai</t>
  </si>
  <si>
    <t>Nuevo</t>
  </si>
  <si>
    <t xml:space="preserve">Armando </t>
  </si>
  <si>
    <t>Brito</t>
  </si>
  <si>
    <t>65B</t>
  </si>
  <si>
    <t>170bs</t>
  </si>
  <si>
    <t>CABALLERO</t>
  </si>
  <si>
    <t>77A</t>
  </si>
  <si>
    <t xml:space="preserve">ROCIO </t>
  </si>
  <si>
    <t>40B</t>
  </si>
  <si>
    <t>TONITO</t>
  </si>
  <si>
    <t>47A</t>
  </si>
  <si>
    <t>ROBERTO (HIJO)</t>
  </si>
  <si>
    <t>168A</t>
  </si>
  <si>
    <t>Roberto hijo</t>
  </si>
  <si>
    <t>160A</t>
  </si>
  <si>
    <t>MARCOS</t>
  </si>
  <si>
    <t>SABINA</t>
  </si>
  <si>
    <t>185B</t>
  </si>
  <si>
    <t xml:space="preserve">GABRIELA </t>
  </si>
  <si>
    <t>COMICI</t>
  </si>
  <si>
    <t xml:space="preserve">NESTOR </t>
  </si>
  <si>
    <t>45A</t>
  </si>
  <si>
    <t>VICTORIA</t>
  </si>
  <si>
    <t>NESTOR (fiuler)</t>
  </si>
  <si>
    <t>VALERA</t>
  </si>
  <si>
    <t>KEIZLER</t>
  </si>
  <si>
    <t>URBINA</t>
  </si>
  <si>
    <t>229A</t>
  </si>
  <si>
    <t>207 / 208 / 290</t>
  </si>
  <si>
    <t>5815 + 5113</t>
  </si>
  <si>
    <t>19A</t>
  </si>
  <si>
    <t>ERICKA</t>
  </si>
  <si>
    <t>KEYBER</t>
  </si>
  <si>
    <t>CAMPOS</t>
  </si>
  <si>
    <t>SÁNCHEZ</t>
  </si>
  <si>
    <t>70A</t>
  </si>
  <si>
    <t>TOVAR</t>
  </si>
  <si>
    <t>111A</t>
  </si>
  <si>
    <t>LUIS DANIEL</t>
  </si>
  <si>
    <t>169B</t>
  </si>
  <si>
    <t>EGLEE</t>
  </si>
  <si>
    <t>FIGUEREDO</t>
  </si>
  <si>
    <t>35B</t>
  </si>
  <si>
    <t>LINDA</t>
  </si>
  <si>
    <t>TUVIÑEZ</t>
  </si>
  <si>
    <t>keny</t>
  </si>
  <si>
    <t>Zulay</t>
  </si>
  <si>
    <t>ZORILMI</t>
  </si>
  <si>
    <t>ANGEL</t>
  </si>
  <si>
    <t xml:space="preserve">Anabella </t>
  </si>
  <si>
    <t>117bs</t>
  </si>
  <si>
    <t>101B</t>
  </si>
  <si>
    <t>170B</t>
  </si>
  <si>
    <t>267/400</t>
  </si>
  <si>
    <t>RONALD</t>
  </si>
  <si>
    <t>JOSE</t>
  </si>
  <si>
    <t>ROJO</t>
  </si>
  <si>
    <t>109B</t>
  </si>
  <si>
    <t>SILVESTRE</t>
  </si>
  <si>
    <t>LOZANO</t>
  </si>
  <si>
    <t>MARBELLA</t>
  </si>
  <si>
    <t>ROMERO</t>
  </si>
  <si>
    <t>227A</t>
  </si>
  <si>
    <t>JETSER</t>
  </si>
  <si>
    <t>93A</t>
  </si>
  <si>
    <t>AUGUSTO</t>
  </si>
  <si>
    <t>MALUENGA</t>
  </si>
  <si>
    <t>250A</t>
  </si>
  <si>
    <t>103A</t>
  </si>
  <si>
    <t>44B</t>
  </si>
  <si>
    <t>FLORIS</t>
  </si>
  <si>
    <t>204A</t>
  </si>
  <si>
    <t>ISAIAS</t>
  </si>
  <si>
    <t>209B</t>
  </si>
  <si>
    <t xml:space="preserve">pipo </t>
  </si>
  <si>
    <t>196B</t>
  </si>
  <si>
    <t>MERENTE</t>
  </si>
  <si>
    <t>218A</t>
  </si>
  <si>
    <t>01 / 02</t>
  </si>
  <si>
    <t>236bs efec</t>
  </si>
  <si>
    <t>ALOIS</t>
  </si>
  <si>
    <t>QUIJANOS</t>
  </si>
  <si>
    <t>89A</t>
  </si>
  <si>
    <t>nieta alois</t>
  </si>
  <si>
    <t>76B</t>
  </si>
  <si>
    <t>198B</t>
  </si>
  <si>
    <t>JOJANDUAR</t>
  </si>
  <si>
    <t>91A</t>
  </si>
  <si>
    <t>JESSICA</t>
  </si>
  <si>
    <t>88B</t>
  </si>
  <si>
    <t>YORDANKA</t>
  </si>
  <si>
    <t>214A</t>
  </si>
  <si>
    <t>14B</t>
  </si>
  <si>
    <t>48B</t>
  </si>
  <si>
    <t xml:space="preserve">Carely </t>
  </si>
  <si>
    <t>MORENO</t>
  </si>
  <si>
    <t>AROLDO</t>
  </si>
  <si>
    <t>SUCRE</t>
  </si>
  <si>
    <t>150A</t>
  </si>
  <si>
    <t>178 / 179</t>
  </si>
  <si>
    <t>99B</t>
  </si>
  <si>
    <t>ANA KARINA</t>
  </si>
  <si>
    <t>124A</t>
  </si>
  <si>
    <t>79B</t>
  </si>
  <si>
    <t>MILDRED</t>
  </si>
  <si>
    <t>25B</t>
  </si>
  <si>
    <t>87B</t>
  </si>
  <si>
    <t>25A</t>
  </si>
  <si>
    <t xml:space="preserve">Jesus </t>
  </si>
  <si>
    <t>Martinez</t>
  </si>
  <si>
    <t xml:space="preserve">José </t>
  </si>
  <si>
    <t>Dyana</t>
  </si>
  <si>
    <t>Mendez</t>
  </si>
  <si>
    <t>102A</t>
  </si>
  <si>
    <t>Barbara</t>
  </si>
  <si>
    <t>MONOCHE</t>
  </si>
  <si>
    <t>147A</t>
  </si>
  <si>
    <t xml:space="preserve">LORENA </t>
  </si>
  <si>
    <t>GARCIA</t>
  </si>
  <si>
    <t>37B</t>
  </si>
  <si>
    <t>37A</t>
  </si>
  <si>
    <t>ARQUIMEDEZ</t>
  </si>
  <si>
    <t>LEÓN</t>
  </si>
  <si>
    <t>200A</t>
  </si>
  <si>
    <t>LEON</t>
  </si>
  <si>
    <t>VANESSA</t>
  </si>
  <si>
    <t>PINO</t>
  </si>
  <si>
    <t>BRAYAN</t>
  </si>
  <si>
    <t>111B</t>
  </si>
  <si>
    <t>JORGE</t>
  </si>
  <si>
    <t>51B</t>
  </si>
  <si>
    <t>151B</t>
  </si>
  <si>
    <t>RONDON</t>
  </si>
  <si>
    <t>MARTHA</t>
  </si>
  <si>
    <t>ALEJANDRA</t>
  </si>
  <si>
    <t>202A</t>
  </si>
  <si>
    <t>AYMARA</t>
  </si>
  <si>
    <t>128 / 197</t>
  </si>
  <si>
    <t>EXONERADA</t>
  </si>
  <si>
    <t>YORBIS</t>
  </si>
  <si>
    <t>126B</t>
  </si>
  <si>
    <t>MARÍA EUGENIA</t>
  </si>
  <si>
    <t>241A</t>
  </si>
  <si>
    <t>pendiente 1 $</t>
  </si>
  <si>
    <t>(86B control a nombre de Maribel Martinez )</t>
  </si>
  <si>
    <t xml:space="preserve">a nombre de betzaida </t>
  </si>
  <si>
    <t>KIMBERLY</t>
  </si>
  <si>
    <t>125B</t>
  </si>
  <si>
    <t xml:space="preserve">ADRIAN </t>
  </si>
  <si>
    <t>118B</t>
  </si>
  <si>
    <t>NIETO</t>
  </si>
  <si>
    <t>201A</t>
  </si>
  <si>
    <t>OMAR</t>
  </si>
  <si>
    <t>42A</t>
  </si>
  <si>
    <t>117B</t>
  </si>
  <si>
    <t>ZOLMAIRA</t>
  </si>
  <si>
    <t>ZOLIMAR</t>
  </si>
  <si>
    <t>NATHALY</t>
  </si>
  <si>
    <t>249A</t>
  </si>
  <si>
    <t>SANDRA</t>
  </si>
  <si>
    <t xml:space="preserve">SEBASTIÁN </t>
  </si>
  <si>
    <t>HERNANDEZ</t>
  </si>
  <si>
    <t>MATHIAS</t>
  </si>
  <si>
    <t xml:space="preserve">NUEVA </t>
  </si>
  <si>
    <t>220A</t>
  </si>
  <si>
    <t>LEMUS</t>
  </si>
  <si>
    <t>179B</t>
  </si>
  <si>
    <t>GRAU</t>
  </si>
  <si>
    <t>222A</t>
  </si>
  <si>
    <t>31B</t>
  </si>
  <si>
    <t>221A</t>
  </si>
  <si>
    <t>Receptor A</t>
  </si>
  <si>
    <t>Nº</t>
  </si>
  <si>
    <t>Nombre</t>
  </si>
  <si>
    <t>Apellido</t>
  </si>
  <si>
    <t>Estatus</t>
  </si>
  <si>
    <t xml:space="preserve"> 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</si>
  <si>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</si>
  <si>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</si>
  <si>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</si>
  <si>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</si>
  <si>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</si>
  <si>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</si>
  <si>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</si>
  <si>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</si>
  <si>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</si>
  <si>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</si>
  <si>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</si>
  <si>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</si>
  <si>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</si>
  <si>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</si>
  <si>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</si>
  <si>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</si>
  <si>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</si>
  <si>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</si>
  <si>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</si>
  <si>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21a</t>
  </si>
  <si>
    <t>22a</t>
  </si>
  <si>
    <t>23a</t>
  </si>
  <si>
    <t>24a</t>
  </si>
  <si>
    <t>25a</t>
  </si>
  <si>
    <t>26a</t>
  </si>
  <si>
    <t>27a</t>
  </si>
  <si>
    <t>28a</t>
  </si>
  <si>
    <t>29a</t>
  </si>
  <si>
    <t>30a</t>
  </si>
  <si>
    <t>31a</t>
  </si>
  <si>
    <t>32a</t>
  </si>
  <si>
    <t>33a</t>
  </si>
  <si>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</si>
  <si>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</si>
  <si>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</si>
  <si>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</si>
  <si>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</si>
  <si>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</si>
  <si>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</si>
  <si>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</si>
  <si>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</si>
  <si>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</si>
  <si>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</si>
  <si>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</si>
  <si>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</si>
  <si>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</si>
  <si>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48a</t>
  </si>
  <si>
    <t>49a</t>
  </si>
  <si>
    <t>50a</t>
  </si>
  <si>
    <t>51a</t>
  </si>
  <si>
    <t>52a</t>
  </si>
  <si>
    <t>53a</t>
  </si>
  <si>
    <t>54a</t>
  </si>
  <si>
    <t>55a</t>
  </si>
  <si>
    <t>56a</t>
  </si>
  <si>
    <t>57a</t>
  </si>
  <si>
    <t>58a</t>
  </si>
  <si>
    <t>59a</t>
  </si>
  <si>
    <t>60a</t>
  </si>
  <si>
    <t>61a</t>
  </si>
  <si>
    <t>62a</t>
  </si>
  <si>
    <t>63a</t>
  </si>
  <si>
    <t>64a</t>
  </si>
  <si>
    <t>65a</t>
  </si>
  <si>
    <t>66a</t>
  </si>
  <si>
    <t>67a</t>
  </si>
  <si>
    <t>68a</t>
  </si>
  <si>
    <t>69a</t>
  </si>
  <si>
    <t>70a</t>
  </si>
  <si>
    <t>71a</t>
  </si>
  <si>
    <t>72a</t>
  </si>
  <si>
    <t>73a</t>
  </si>
  <si>
    <t>74a</t>
  </si>
  <si>
    <t>75a</t>
  </si>
  <si>
    <t>76a</t>
  </si>
  <si>
    <t>77a</t>
  </si>
  <si>
    <t>78a</t>
  </si>
  <si>
    <t>79a</t>
  </si>
  <si>
    <t>80a</t>
  </si>
  <si>
    <t>81a</t>
  </si>
  <si>
    <t>82a</t>
  </si>
  <si>
    <t>83a</t>
  </si>
  <si>
    <t>84a</t>
  </si>
  <si>
    <t>85a</t>
  </si>
  <si>
    <t>86a</t>
  </si>
  <si>
    <t>87a</t>
  </si>
  <si>
    <t>88a</t>
  </si>
  <si>
    <t>89a</t>
  </si>
  <si>
    <t>90a</t>
  </si>
  <si>
    <t>91a</t>
  </si>
  <si>
    <t>92a</t>
  </si>
  <si>
    <t>93a</t>
  </si>
  <si>
    <t>94a</t>
  </si>
  <si>
    <t>95a</t>
  </si>
  <si>
    <t>96a</t>
  </si>
  <si>
    <t>97a</t>
  </si>
  <si>
    <t>98a</t>
  </si>
  <si>
    <t>99a</t>
  </si>
  <si>
    <t>100a</t>
  </si>
  <si>
    <t>101a</t>
  </si>
  <si>
    <t>102a</t>
  </si>
  <si>
    <t>103a</t>
  </si>
  <si>
    <t>104a</t>
  </si>
  <si>
    <t>105a</t>
  </si>
  <si>
    <t>106a</t>
  </si>
  <si>
    <t>107a</t>
  </si>
  <si>
    <t>108a</t>
  </si>
  <si>
    <t>109a</t>
  </si>
  <si>
    <t>110a</t>
  </si>
  <si>
    <t>111a</t>
  </si>
  <si>
    <t>112a</t>
  </si>
  <si>
    <t>113a</t>
  </si>
  <si>
    <t>114a</t>
  </si>
  <si>
    <t>115a</t>
  </si>
  <si>
    <t>116a</t>
  </si>
  <si>
    <t>117a</t>
  </si>
  <si>
    <t>118a</t>
  </si>
  <si>
    <t>119a</t>
  </si>
  <si>
    <t>120a</t>
  </si>
  <si>
    <t>121a</t>
  </si>
  <si>
    <t>122a</t>
  </si>
  <si>
    <t>123a</t>
  </si>
  <si>
    <t>124a</t>
  </si>
  <si>
    <t>125a</t>
  </si>
  <si>
    <t>126a</t>
  </si>
  <si>
    <t>127a</t>
  </si>
  <si>
    <t>128a</t>
  </si>
  <si>
    <t>129a</t>
  </si>
  <si>
    <t>130a</t>
  </si>
  <si>
    <t>131a</t>
  </si>
  <si>
    <t>132a</t>
  </si>
  <si>
    <t>133a</t>
  </si>
  <si>
    <t>134a</t>
  </si>
  <si>
    <t>135a</t>
  </si>
  <si>
    <t>136a</t>
  </si>
  <si>
    <t>137a</t>
  </si>
  <si>
    <t>138a</t>
  </si>
  <si>
    <t>139a</t>
  </si>
  <si>
    <t>140a</t>
  </si>
  <si>
    <t>141a</t>
  </si>
  <si>
    <t>142a</t>
  </si>
  <si>
    <t>143a</t>
  </si>
  <si>
    <t>144a</t>
  </si>
  <si>
    <t>145a</t>
  </si>
  <si>
    <t>146a</t>
  </si>
  <si>
    <t>147a</t>
  </si>
  <si>
    <t>148a</t>
  </si>
  <si>
    <t>149a</t>
  </si>
  <si>
    <t>150a</t>
  </si>
  <si>
    <t>151a</t>
  </si>
  <si>
    <t>152a</t>
  </si>
  <si>
    <t>153a</t>
  </si>
  <si>
    <t>154a</t>
  </si>
  <si>
    <t>155a</t>
  </si>
  <si>
    <t>156a</t>
  </si>
  <si>
    <t>157a</t>
  </si>
  <si>
    <t>158a</t>
  </si>
  <si>
    <t>159a</t>
  </si>
  <si>
    <t>160a</t>
  </si>
  <si>
    <t>161a</t>
  </si>
  <si>
    <t>162a</t>
  </si>
  <si>
    <t>163a</t>
  </si>
  <si>
    <t>164a</t>
  </si>
  <si>
    <t>165a</t>
  </si>
  <si>
    <t>166a</t>
  </si>
  <si>
    <t>167a</t>
  </si>
  <si>
    <t>168a</t>
  </si>
  <si>
    <t>169a</t>
  </si>
  <si>
    <t>170a</t>
  </si>
  <si>
    <t>171a</t>
  </si>
  <si>
    <t>172a</t>
  </si>
  <si>
    <t>173a</t>
  </si>
  <si>
    <t>174a</t>
  </si>
  <si>
    <t>175a</t>
  </si>
  <si>
    <t>176a</t>
  </si>
  <si>
    <t>177a</t>
  </si>
  <si>
    <t>178a</t>
  </si>
  <si>
    <t>179a</t>
  </si>
  <si>
    <t>180a</t>
  </si>
  <si>
    <t>181a</t>
  </si>
  <si>
    <t>182a</t>
  </si>
  <si>
    <t>183a</t>
  </si>
  <si>
    <t>184a</t>
  </si>
  <si>
    <t>185a</t>
  </si>
  <si>
    <t>186a</t>
  </si>
  <si>
    <t>187a</t>
  </si>
  <si>
    <t>188a</t>
  </si>
  <si>
    <t>189a</t>
  </si>
  <si>
    <t>190a</t>
  </si>
  <si>
    <t>191a</t>
  </si>
  <si>
    <t>192a</t>
  </si>
  <si>
    <t>193a</t>
  </si>
  <si>
    <t>194a</t>
  </si>
  <si>
    <t>195a</t>
  </si>
  <si>
    <t>196a</t>
  </si>
  <si>
    <t>197a</t>
  </si>
  <si>
    <t>198a</t>
  </si>
  <si>
    <t>199a</t>
  </si>
  <si>
    <t>200a</t>
  </si>
  <si>
    <t>201a</t>
  </si>
  <si>
    <t>202a</t>
  </si>
  <si>
    <t>203a</t>
  </si>
  <si>
    <t>204a</t>
  </si>
  <si>
    <t>205a</t>
  </si>
  <si>
    <t>206a</t>
  </si>
  <si>
    <t>207a</t>
  </si>
  <si>
    <t>208a</t>
  </si>
  <si>
    <t>209a</t>
  </si>
  <si>
    <t>210a</t>
  </si>
  <si>
    <t>211a</t>
  </si>
  <si>
    <t>212a</t>
  </si>
  <si>
    <t>213a</t>
  </si>
  <si>
    <t>214a</t>
  </si>
  <si>
    <t>215a</t>
  </si>
  <si>
    <t>216a</t>
  </si>
  <si>
    <t>217a</t>
  </si>
  <si>
    <t>218a</t>
  </si>
  <si>
    <t>219a</t>
  </si>
  <si>
    <t>220a</t>
  </si>
  <si>
    <t>221a</t>
  </si>
  <si>
    <t>222a</t>
  </si>
  <si>
    <t>223a</t>
  </si>
  <si>
    <t>224a</t>
  </si>
  <si>
    <t>225a</t>
  </si>
  <si>
    <t>226a</t>
  </si>
  <si>
    <t>227a</t>
  </si>
  <si>
    <t>228a</t>
  </si>
  <si>
    <t>229a</t>
  </si>
  <si>
    <t>230a</t>
  </si>
  <si>
    <t>231a</t>
  </si>
  <si>
    <t>232a</t>
  </si>
  <si>
    <t>233a</t>
  </si>
  <si>
    <t>234a</t>
  </si>
  <si>
    <t>235a</t>
  </si>
  <si>
    <t>236a</t>
  </si>
  <si>
    <t>237a</t>
  </si>
  <si>
    <t>238a</t>
  </si>
  <si>
    <t>239a</t>
  </si>
  <si>
    <t>240a</t>
  </si>
  <si>
    <t>241a</t>
  </si>
  <si>
    <t>242a</t>
  </si>
  <si>
    <t>243a</t>
  </si>
  <si>
    <t>244a</t>
  </si>
  <si>
    <t>245a</t>
  </si>
  <si>
    <t>246a</t>
  </si>
  <si>
    <t>247a</t>
  </si>
  <si>
    <t>248a</t>
  </si>
  <si>
    <t>Nuevo donde hector</t>
  </si>
  <si>
    <t>249a</t>
  </si>
  <si>
    <t>250a</t>
  </si>
  <si>
    <t>Jetzer daza</t>
  </si>
  <si>
    <t>Receptor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</si>
</sst>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$&quot;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C00000"/>
      <name val="Calibri"/>
    </font>
    <font>
      <b/>
      <sz val="17.0"/>
      <color theme="1"/>
      <name val="Arial"/>
      <scheme val="minor"/>
    </font>
    <font/>
    <font>
      <b/>
      <sz val="11.0"/>
      <color rgb="FF0070C0"/>
      <name val="Calibri"/>
    </font>
    <font>
      <sz val="11.0"/>
      <color rgb="FF9C0006"/>
      <name val="Calibri"/>
    </font>
    <font>
      <sz val="11.0"/>
      <color theme="1"/>
      <name val="Arial"/>
    </font>
    <font>
      <sz val="12.0"/>
      <color rgb="FF000000"/>
      <name val="Calibri"/>
    </font>
    <font>
      <b/>
      <sz val="11.0"/>
      <color rgb="FF9C0006"/>
      <name val="Calibri"/>
    </font>
    <font>
      <b/>
      <sz val="11.0"/>
      <color rgb="FFFF0000"/>
      <name val="Calibri"/>
    </font>
    <font>
      <color rgb="FF000000"/>
      <name val="Calibri"/>
    </font>
    <font>
      <sz val="11.0"/>
      <color rgb="FF990000"/>
      <name val="Calibri"/>
    </font>
    <font>
      <color theme="1"/>
      <name val="Arial"/>
    </font>
    <font>
      <sz val="9.0"/>
      <color rgb="FF000000"/>
      <name val="Calibri"/>
    </font>
    <font>
      <sz val="11.0"/>
      <color rgb="FF000000"/>
      <name val="Docs-Calibri"/>
    </font>
    <font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&quot;Aptos Narrow&quot;"/>
    </font>
  </fonts>
  <fills count="1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1CFC41"/>
        <bgColor rgb="FF1CFC41"/>
      </patternFill>
    </fill>
    <fill>
      <patternFill patternType="solid">
        <fgColor rgb="FFFF9900"/>
        <bgColor rgb="FFFF9900"/>
      </patternFill>
    </fill>
    <fill>
      <patternFill patternType="solid">
        <fgColor rgb="FFFFC7CE"/>
        <bgColor rgb="FFFFC7CE"/>
      </patternFill>
    </fill>
    <fill>
      <patternFill patternType="solid">
        <fgColor rgb="FFE69138"/>
        <bgColor rgb="FFE69138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theme="0"/>
      </patternFill>
    </fill>
    <fill>
      <patternFill patternType="solid">
        <fgColor rgb="FF4DD0E1"/>
        <bgColor rgb="FF4DD0E1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6" numFmtId="0" xfId="0" applyBorder="1" applyFont="1"/>
    <xf borderId="0" fillId="4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readingOrder="0"/>
    </xf>
    <xf borderId="3" fillId="0" fontId="2" numFmtId="0" xfId="0" applyAlignment="1" applyBorder="1" applyFont="1">
      <alignment horizontal="center" shrinkToFit="0" vertical="center" wrapText="1"/>
    </xf>
    <xf borderId="4" fillId="0" fontId="2" numFmtId="164" xfId="0" applyAlignment="1" applyBorder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4" fillId="6" fontId="2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4" fillId="7" fontId="2" numFmtId="0" xfId="0" applyAlignment="1" applyBorder="1" applyFill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4" fillId="9" fontId="2" numFmtId="0" xfId="0" applyAlignment="1" applyBorder="1" applyFill="1" applyFont="1">
      <alignment horizontal="center" shrinkToFit="0" vertical="center" wrapText="1"/>
    </xf>
    <xf borderId="6" fillId="7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6" numFmtId="0" xfId="0" applyBorder="1" applyFont="1"/>
    <xf borderId="5" fillId="0" fontId="2" numFmtId="164" xfId="0" applyAlignment="1" applyBorder="1" applyFont="1" applyNumberForma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10" fontId="2" numFmtId="0" xfId="0" applyAlignment="1" applyBorder="1" applyFill="1" applyFont="1">
      <alignment horizontal="center" readingOrder="0" shrinkToFit="0" vertical="center" wrapText="1"/>
    </xf>
    <xf borderId="1" fillId="0" fontId="1" numFmtId="0" xfId="0" applyBorder="1" applyFont="1"/>
    <xf borderId="1" fillId="9" fontId="8" numFmtId="0" xfId="0" applyAlignment="1" applyBorder="1" applyFont="1">
      <alignment horizontal="center" readingOrder="0" shrinkToFit="0" vertical="center" wrapText="1"/>
    </xf>
    <xf borderId="0" fillId="9" fontId="8" numFmtId="0" xfId="0" applyAlignment="1" applyFont="1">
      <alignment horizontal="center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5" fillId="11" fontId="2" numFmtId="0" xfId="0" applyAlignment="1" applyBorder="1" applyFill="1" applyFont="1">
      <alignment horizontal="center" readingOrder="0" shrinkToFit="0" vertical="center" wrapText="1"/>
    </xf>
    <xf borderId="0" fillId="11" fontId="2" numFmtId="0" xfId="0" applyAlignment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1" fillId="9" fontId="11" numFmtId="164" xfId="0" applyAlignment="1" applyBorder="1" applyFont="1" applyNumberFormat="1">
      <alignment horizontal="center" readingOrder="0" shrinkToFit="0" vertical="center" wrapText="1"/>
    </xf>
    <xf borderId="0" fillId="9" fontId="11" numFmtId="164" xfId="0" applyAlignment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9" fontId="2" numFmtId="0" xfId="0" applyAlignment="1" applyBorder="1" applyFont="1">
      <alignment horizontal="center" readingOrder="0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5" fillId="0" fontId="6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shrinkToFit="0" vertical="center" wrapText="1"/>
    </xf>
    <xf borderId="7" fillId="6" fontId="2" numFmtId="0" xfId="0" applyAlignment="1" applyBorder="1" applyFont="1">
      <alignment horizontal="center" readingOrder="0" shrinkToFit="0" vertical="center" wrapText="1"/>
    </xf>
    <xf borderId="3" fillId="9" fontId="2" numFmtId="0" xfId="0" applyAlignment="1" applyBorder="1" applyFont="1">
      <alignment horizontal="center" shrinkToFit="0" vertical="center" wrapText="1"/>
    </xf>
    <xf borderId="8" fillId="9" fontId="8" numFmtId="164" xfId="0" applyAlignment="1" applyBorder="1" applyFont="1" applyNumberFormat="1">
      <alignment horizontal="center" readingOrder="0" shrinkToFit="0" vertical="center" wrapText="1"/>
    </xf>
    <xf borderId="0" fillId="9" fontId="8" numFmtId="164" xfId="0" applyAlignment="1" applyFont="1" applyNumberFormat="1">
      <alignment horizontal="center" readingOrder="0" shrinkToFit="0" vertical="center" wrapText="1"/>
    </xf>
    <xf borderId="4" fillId="0" fontId="2" numFmtId="164" xfId="0" applyAlignment="1" applyBorder="1" applyFont="1" applyNumberFormat="1">
      <alignment horizontal="center" shrinkToFit="0" vertical="center" wrapText="1"/>
    </xf>
    <xf borderId="6" fillId="0" fontId="6" numFmtId="0" xfId="0" applyBorder="1" applyFont="1"/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7" fillId="1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horizontal="center" readingOrder="0" shrinkToFit="0" vertical="center" wrapText="1"/>
    </xf>
    <xf borderId="4" fillId="9" fontId="8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9" fontId="8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4" fillId="0" fontId="8" numFmtId="164" xfId="0" applyAlignment="1" applyBorder="1" applyFont="1" applyNumberFormat="1">
      <alignment horizontal="center"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1" fillId="0" fontId="1" numFmtId="0" xfId="0" applyBorder="1" applyFont="1"/>
    <xf borderId="8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8" fillId="9" fontId="8" numFmtId="0" xfId="0" applyAlignment="1" applyBorder="1" applyFont="1">
      <alignment horizontal="center" readingOrder="0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11" fontId="2" numFmtId="0" xfId="0" applyAlignment="1" applyBorder="1" applyFont="1">
      <alignment horizontal="center" readingOrder="0" shrinkToFit="0" vertical="center" wrapText="1"/>
    </xf>
    <xf borderId="4" fillId="9" fontId="7" numFmtId="0" xfId="0" applyAlignment="1" applyBorder="1" applyFont="1">
      <alignment horizontal="center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4" fillId="12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shrinkToFit="0" wrapText="0"/>
    </xf>
    <xf borderId="2" fillId="0" fontId="2" numFmtId="3" xfId="0" applyAlignment="1" applyBorder="1" applyFont="1" applyNumberFormat="1">
      <alignment horizontal="center" readingOrder="0" shrinkToFit="0" wrapText="0"/>
    </xf>
    <xf borderId="1" fillId="9" fontId="8" numFmtId="0" xfId="0" applyAlignment="1" applyBorder="1" applyFont="1">
      <alignment horizontal="center" readingOrder="0" shrinkToFit="0" wrapText="0"/>
    </xf>
    <xf borderId="0" fillId="9" fontId="8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5" fillId="13" fontId="14" numFmtId="0" xfId="0" applyAlignment="1" applyBorder="1" applyFill="1" applyFont="1">
      <alignment horizontal="center" readingOrder="0" shrinkToFit="0" vertical="center" wrapText="1"/>
    </xf>
    <xf borderId="0" fillId="13" fontId="14" numFmtId="0" xfId="0" applyAlignment="1" applyFont="1">
      <alignment horizontal="center" readingOrder="0" shrinkToFit="0" vertical="center" wrapText="1"/>
    </xf>
    <xf borderId="4" fillId="13" fontId="14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/>
    </xf>
    <xf borderId="4" fillId="0" fontId="13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9" fontId="8" numFmtId="164" xfId="0" applyAlignment="1" applyBorder="1" applyFont="1" applyNumberFormat="1">
      <alignment horizontal="center" readingOrder="0" shrinkToFit="0" vertical="center" wrapText="1"/>
    </xf>
    <xf borderId="4" fillId="14" fontId="2" numFmtId="0" xfId="0" applyAlignment="1" applyBorder="1" applyFill="1" applyFont="1">
      <alignment horizontal="center" readingOrder="0" shrinkToFit="0" vertical="center" wrapText="1"/>
    </xf>
    <xf borderId="0" fillId="14" fontId="2" numFmtId="0" xfId="0" applyAlignment="1" applyFont="1">
      <alignment horizontal="center" readingOrder="0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5" fillId="0" fontId="1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4" fillId="5" fontId="2" numFmtId="0" xfId="0" applyAlignment="1" applyBorder="1" applyFont="1">
      <alignment horizontal="center" shrinkToFit="0" vertical="center" wrapText="1"/>
    </xf>
    <xf borderId="0" fillId="5" fontId="2" numFmtId="0" xfId="0" applyAlignment="1" applyFont="1">
      <alignment horizontal="center" shrinkToFit="0" vertical="center" wrapText="1"/>
    </xf>
    <xf borderId="3" fillId="9" fontId="12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readingOrder="0"/>
    </xf>
    <xf borderId="4" fillId="5" fontId="2" numFmtId="0" xfId="0" applyAlignment="1" applyBorder="1" applyFont="1">
      <alignment horizontal="center" readingOrder="0"/>
    </xf>
    <xf borderId="4" fillId="15" fontId="2" numFmtId="0" xfId="0" applyAlignment="1" applyBorder="1" applyFill="1" applyFont="1">
      <alignment horizontal="center" readingOrder="0" shrinkToFit="0" vertical="center" wrapText="1"/>
    </xf>
    <xf borderId="0" fillId="15" fontId="2" numFmtId="0" xfId="0" applyAlignment="1" applyFont="1">
      <alignment horizontal="center" readingOrder="0" shrinkToFit="0" vertical="center" wrapText="1"/>
    </xf>
    <xf borderId="4" fillId="0" fontId="18" numFmtId="164" xfId="0" applyAlignment="1" applyBorder="1" applyFont="1" applyNumberFormat="1">
      <alignment horizontal="center" readingOrder="0" shrinkToFit="0" vertical="center" wrapText="1"/>
    </xf>
    <xf borderId="0" fillId="0" fontId="18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8" fillId="0" fontId="8" numFmtId="49" xfId="0" applyAlignment="1" applyBorder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center" readingOrder="0" shrinkToFit="0" vertical="center" wrapText="1"/>
    </xf>
    <xf borderId="6" fillId="9" fontId="8" numFmtId="164" xfId="0" applyAlignment="1" applyBorder="1" applyFont="1" applyNumberFormat="1">
      <alignment horizontal="center" readingOrder="0" shrinkToFit="0" vertical="center" wrapText="1"/>
    </xf>
    <xf borderId="4" fillId="7" fontId="2" numFmtId="164" xfId="0" applyAlignment="1" applyBorder="1" applyFont="1" applyNumberFormat="1">
      <alignment horizontal="center" readingOrder="0" shrinkToFit="0" vertical="center" wrapText="1"/>
    </xf>
    <xf borderId="0" fillId="7" fontId="2" numFmtId="164" xfId="0" applyAlignment="1" applyFont="1" applyNumberFormat="1">
      <alignment horizontal="center" readingOrder="0" shrinkToFit="0" vertical="center" wrapText="1"/>
    </xf>
    <xf borderId="11" fillId="7" fontId="2" numFmtId="0" xfId="0" applyAlignment="1" applyBorder="1" applyFont="1">
      <alignment horizontal="center" readingOrder="0" shrinkToFit="0" vertical="center" wrapText="1"/>
    </xf>
    <xf borderId="11" fillId="0" fontId="6" numFmtId="0" xfId="0" applyBorder="1" applyFont="1"/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5" fillId="11" fontId="2" numFmtId="164" xfId="0" applyAlignment="1" applyBorder="1" applyFont="1" applyNumberFormat="1">
      <alignment horizontal="center" readingOrder="0" shrinkToFit="0" vertical="center" wrapText="1"/>
    </xf>
    <xf borderId="0" fillId="11" fontId="2" numFmtId="164" xfId="0" applyAlignment="1" applyFont="1" applyNumberFormat="1">
      <alignment horizontal="center" readingOrder="0" shrinkToFit="0" vertical="center" wrapText="1"/>
    </xf>
    <xf borderId="6" fillId="7" fontId="2" numFmtId="164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" fillId="7" fontId="2" numFmtId="0" xfId="0" applyAlignment="1" applyBorder="1" applyFont="1">
      <alignment horizontal="center" readingOrder="0" shrinkToFit="0" vertical="center" wrapText="1"/>
    </xf>
    <xf borderId="6" fillId="16" fontId="2" numFmtId="0" xfId="0" applyAlignment="1" applyBorder="1" applyFill="1" applyFont="1">
      <alignment horizontal="center" readingOrder="0" shrinkToFit="0" vertical="center" wrapText="1"/>
    </xf>
    <xf borderId="0" fillId="16" fontId="2" numFmtId="0" xfId="0" applyAlignment="1" applyFont="1">
      <alignment horizontal="center" readingOrder="0" shrinkToFit="0" vertical="center" wrapText="1"/>
    </xf>
    <xf borderId="5" fillId="7" fontId="2" numFmtId="164" xfId="0" applyAlignment="1" applyBorder="1" applyFont="1" applyNumberFormat="1">
      <alignment horizontal="center" readingOrder="0" shrinkToFit="0" vertical="center" wrapText="1"/>
    </xf>
    <xf borderId="5" fillId="7" fontId="2" numFmtId="0" xfId="0" applyAlignment="1" applyBorder="1" applyFont="1">
      <alignment horizontal="center" readingOrder="0" shrinkToFit="0" vertical="center" wrapText="1"/>
    </xf>
    <xf borderId="5" fillId="9" fontId="8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5" fontId="17" numFmtId="164" xfId="0" applyAlignment="1" applyFont="1" applyNumberFormat="1">
      <alignment horizontal="center" readingOrder="0"/>
    </xf>
    <xf borderId="4" fillId="7" fontId="18" numFmtId="0" xfId="0" applyAlignment="1" applyBorder="1" applyFont="1">
      <alignment horizontal="center" readingOrder="0" shrinkToFit="0" vertical="center" wrapText="1"/>
    </xf>
    <xf borderId="0" fillId="7" fontId="18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4" fillId="9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3" fillId="9" fontId="7" numFmtId="0" xfId="0" applyAlignment="1" applyBorder="1" applyFont="1">
      <alignment horizontal="center" shrinkToFit="0" vertical="center" wrapText="1"/>
    </xf>
    <xf borderId="3" fillId="9" fontId="8" numFmtId="164" xfId="0" applyAlignment="1" applyBorder="1" applyFont="1" applyNumberForma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8" fillId="7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17" fontId="1" numFmtId="0" xfId="0" applyFill="1" applyFont="1"/>
    <xf borderId="12" fillId="18" fontId="19" numFmtId="0" xfId="0" applyAlignment="1" applyBorder="1" applyFill="1" applyFont="1">
      <alignment horizontal="center" readingOrder="0"/>
    </xf>
    <xf borderId="9" fillId="0" fontId="6" numFmtId="0" xfId="0" applyBorder="1" applyFont="1"/>
    <xf borderId="2" fillId="0" fontId="6" numFmtId="0" xfId="0" applyBorder="1" applyFont="1"/>
    <xf borderId="0" fillId="17" fontId="19" numFmtId="0" xfId="0" applyFont="1"/>
    <xf borderId="1" fillId="0" fontId="19" numFmtId="0" xfId="0" applyAlignment="1" applyBorder="1" applyFont="1">
      <alignment horizontal="center" readingOrder="0"/>
    </xf>
    <xf borderId="12" fillId="0" fontId="19" numFmtId="0" xfId="0" applyAlignment="1" applyBorder="1" applyFont="1">
      <alignment horizontal="center" readingOrder="0"/>
    </xf>
    <xf borderId="0" fillId="17" fontId="19" numFmtId="0" xfId="0" applyAlignment="1" applyFont="1">
      <alignment horizontal="center" readingOrder="0"/>
    </xf>
    <xf borderId="1" fillId="0" fontId="20" numFmtId="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/>
    </xf>
    <xf borderId="0" fillId="17" fontId="2" numFmtId="0" xfId="0" applyAlignment="1" applyFont="1">
      <alignment horizontal="center" readingOrder="0" shrinkToFit="0" vertical="center" wrapText="1"/>
    </xf>
    <xf borderId="0" fillId="17" fontId="2" numFmtId="0" xfId="0" applyAlignment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bottom" wrapText="0"/>
    </xf>
    <xf borderId="9" fillId="2" fontId="19" numFmtId="0" xfId="0" applyAlignment="1" applyBorder="1" applyFont="1">
      <alignment horizontal="center" readingOrder="0"/>
    </xf>
    <xf borderId="2" fillId="0" fontId="19" numFmtId="0" xfId="0" applyAlignment="1" applyBorder="1" applyFont="1">
      <alignment horizontal="center" readingOrder="0"/>
    </xf>
    <xf borderId="0" fillId="0" fontId="19" numFmtId="0" xfId="0" applyAlignment="1" applyFont="1">
      <alignment horizontal="center" readingOrder="0"/>
    </xf>
    <xf borderId="2" fillId="0" fontId="1" numFmtId="0" xfId="0" applyAlignment="1" applyBorder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2">
    <tableStyle count="3" pivot="0" name="Lista de receptores-style">
      <tableStyleElement dxfId="1" type="headerRow"/>
      <tableStyleElement dxfId="2" type="firstRowStripe"/>
      <tableStyleElement dxfId="3" type="secondRowStripe"/>
    </tableStyle>
    <tableStyle count="3" pivot="0" name="Lista de receptores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4:G254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ista de recepto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B258:E508" displayName="Table_2" name="Table_2" id="2">
  <tableColumns count="4">
    <tableColumn name="Nº" id="1"/>
    <tableColumn name="Nombre" id="2"/>
    <tableColumn name="Apellido" id="3"/>
    <tableColumn name="Estatus" id="4"/>
  </tableColumns>
  <tableStyleInfo name="Lista de receptor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6" max="6" width="13.88"/>
    <col customWidth="1" min="7" max="7" width="14.5"/>
    <col customWidth="1" min="8" max="8" width="18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1"/>
      <c r="Q1" s="2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/>
      <c r="C2" s="3"/>
      <c r="D2" s="3"/>
      <c r="E2" s="3"/>
      <c r="F2" s="3"/>
      <c r="G2" s="4" t="s">
        <v>1</v>
      </c>
      <c r="H2" s="5"/>
      <c r="I2" s="6"/>
      <c r="J2" s="6"/>
      <c r="K2" s="6" t="s">
        <v>2</v>
      </c>
      <c r="L2" s="2" t="s">
        <v>3</v>
      </c>
      <c r="N2" s="1"/>
      <c r="O2" s="2"/>
      <c r="P2" s="2"/>
      <c r="Q2" s="2" t="s">
        <v>4</v>
      </c>
      <c r="R2" s="2" t="s">
        <v>5</v>
      </c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3"/>
      <c r="C3" s="3"/>
      <c r="D3" s="3"/>
      <c r="E3" s="7"/>
      <c r="F3" s="7"/>
      <c r="G3" s="4" t="s">
        <v>6</v>
      </c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1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2" t="s">
        <v>7</v>
      </c>
      <c r="P4" s="2" t="s">
        <v>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"/>
      <c r="B5" s="8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9" t="s">
        <v>15</v>
      </c>
      <c r="I5" s="9" t="s">
        <v>16</v>
      </c>
      <c r="J5" s="9" t="s">
        <v>17</v>
      </c>
      <c r="K5" s="9" t="s">
        <v>18</v>
      </c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1">
        <v>27.0</v>
      </c>
      <c r="C6" s="12">
        <v>1.0</v>
      </c>
      <c r="D6" s="13" t="s">
        <v>19</v>
      </c>
      <c r="E6" s="13">
        <v>1.0</v>
      </c>
      <c r="F6" s="13" t="s">
        <v>20</v>
      </c>
      <c r="G6" s="13" t="s">
        <v>21</v>
      </c>
      <c r="H6" s="13" t="s">
        <v>22</v>
      </c>
      <c r="I6" s="13" t="s">
        <v>23</v>
      </c>
      <c r="J6" s="13">
        <v>99.0</v>
      </c>
      <c r="K6" s="14" t="s">
        <v>24</v>
      </c>
      <c r="L6" s="6"/>
      <c r="M6" s="1"/>
      <c r="N6" s="1"/>
      <c r="O6" s="15" t="s">
        <v>25</v>
      </c>
      <c r="V6" s="1"/>
      <c r="W6" s="1"/>
      <c r="X6" s="1"/>
      <c r="Y6" s="1"/>
      <c r="Z6" s="1"/>
      <c r="AA6" s="1"/>
      <c r="AB6" s="1"/>
    </row>
    <row r="7">
      <c r="A7" s="1"/>
      <c r="B7" s="16"/>
      <c r="C7" s="17"/>
      <c r="D7" s="18"/>
      <c r="E7" s="18"/>
      <c r="F7" s="13" t="s">
        <v>26</v>
      </c>
      <c r="G7" s="13" t="s">
        <v>21</v>
      </c>
      <c r="H7" s="18"/>
      <c r="I7" s="17"/>
      <c r="J7" s="13">
        <v>100.0</v>
      </c>
      <c r="K7" s="19"/>
      <c r="L7" s="6"/>
      <c r="M7" s="1"/>
      <c r="N7" s="1"/>
      <c r="V7" s="1"/>
      <c r="W7" s="1"/>
      <c r="X7" s="1"/>
      <c r="Y7" s="1"/>
      <c r="Z7" s="1"/>
      <c r="AA7" s="1"/>
      <c r="AB7" s="1"/>
    </row>
    <row r="8" ht="19.5" customHeight="1">
      <c r="A8" s="1"/>
      <c r="B8" s="16"/>
      <c r="C8" s="17"/>
      <c r="D8" s="18"/>
      <c r="E8" s="18"/>
      <c r="F8" s="13" t="s">
        <v>27</v>
      </c>
      <c r="G8" s="13" t="s">
        <v>21</v>
      </c>
      <c r="H8" s="17"/>
      <c r="I8" s="17"/>
      <c r="J8" s="17"/>
      <c r="K8" s="17"/>
      <c r="L8" s="3"/>
      <c r="M8" s="1"/>
      <c r="N8" s="1"/>
      <c r="O8" s="20" t="s">
        <v>28</v>
      </c>
      <c r="P8" s="20" t="s">
        <v>29</v>
      </c>
      <c r="Q8" s="20" t="s">
        <v>30</v>
      </c>
      <c r="R8" s="20" t="s">
        <v>31</v>
      </c>
      <c r="S8" s="20" t="s">
        <v>32</v>
      </c>
      <c r="T8" s="21" t="s">
        <v>33</v>
      </c>
      <c r="U8" s="20" t="s">
        <v>34</v>
      </c>
      <c r="V8" s="1"/>
      <c r="W8" s="1"/>
      <c r="X8" s="1"/>
      <c r="Y8" s="1"/>
      <c r="Z8" s="1"/>
      <c r="AA8" s="1"/>
      <c r="AB8" s="1"/>
    </row>
    <row r="9">
      <c r="A9" s="1"/>
      <c r="B9" s="16"/>
      <c r="C9" s="17"/>
      <c r="D9" s="18"/>
      <c r="E9" s="18"/>
      <c r="F9" s="13" t="s">
        <v>35</v>
      </c>
      <c r="G9" s="13" t="s">
        <v>21</v>
      </c>
      <c r="H9" s="17"/>
      <c r="I9" s="17"/>
      <c r="J9" s="17"/>
      <c r="K9" s="17"/>
      <c r="L9" s="3"/>
      <c r="M9" s="1"/>
      <c r="N9" s="1"/>
      <c r="O9" s="22">
        <v>225.0</v>
      </c>
      <c r="P9" s="22">
        <v>30.0</v>
      </c>
      <c r="Q9" s="22">
        <v>0.0</v>
      </c>
      <c r="R9" s="22">
        <v>7.0</v>
      </c>
      <c r="S9" s="23">
        <f>O9-P9-Q9-R9</f>
        <v>188</v>
      </c>
      <c r="T9" s="24">
        <v>28.6</v>
      </c>
      <c r="U9" s="23">
        <f>(S9*3)-T9</f>
        <v>535.4</v>
      </c>
      <c r="V9" s="1"/>
      <c r="W9" s="1"/>
      <c r="X9" s="1">
        <f>38.67*3</f>
        <v>116.01</v>
      </c>
      <c r="Y9" s="1"/>
      <c r="Z9" s="1"/>
      <c r="AA9" s="1"/>
      <c r="AB9" s="1"/>
    </row>
    <row r="10">
      <c r="A10" s="1"/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>
        <f>115-116.01</f>
        <v>-1.01</v>
      </c>
      <c r="Y10" s="1"/>
      <c r="Z10" s="1"/>
      <c r="AA10" s="1"/>
      <c r="AB10" s="1"/>
    </row>
    <row r="11">
      <c r="A11" s="1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"/>
      <c r="B12" s="25"/>
      <c r="C12" s="18"/>
      <c r="D12" s="13" t="s">
        <v>19</v>
      </c>
      <c r="E12" s="13">
        <v>3.0</v>
      </c>
      <c r="F12" s="13" t="s">
        <v>36</v>
      </c>
      <c r="G12" s="13" t="s">
        <v>37</v>
      </c>
      <c r="H12" s="13" t="s">
        <v>22</v>
      </c>
      <c r="I12" s="13" t="s">
        <v>38</v>
      </c>
      <c r="J12" s="13" t="s">
        <v>39</v>
      </c>
      <c r="K12" s="26">
        <v>5.0</v>
      </c>
      <c r="L12" s="27"/>
      <c r="M12" s="1"/>
      <c r="N12" s="1"/>
      <c r="O12" s="1"/>
      <c r="P12" s="1"/>
      <c r="Q12" s="1"/>
      <c r="R12" s="1"/>
      <c r="S12" s="1"/>
      <c r="T12" s="1"/>
      <c r="U12" s="1">
        <f>U9-501</f>
        <v>34.4</v>
      </c>
      <c r="V12" s="1"/>
      <c r="W12" s="1">
        <f>U9-S9</f>
        <v>347.4</v>
      </c>
      <c r="X12" s="1"/>
      <c r="Y12" s="1"/>
      <c r="Z12" s="1"/>
      <c r="AA12" s="1"/>
      <c r="AB12" s="1"/>
    </row>
    <row r="13">
      <c r="A13" s="1"/>
      <c r="B13" s="16"/>
      <c r="C13" s="17"/>
      <c r="D13" s="18"/>
      <c r="E13" s="18"/>
      <c r="F13" s="13" t="s">
        <v>40</v>
      </c>
      <c r="G13" s="13" t="s">
        <v>41</v>
      </c>
      <c r="H13" s="17"/>
      <c r="I13" s="17"/>
      <c r="J13" s="17"/>
      <c r="K13" s="17"/>
      <c r="L13" s="3"/>
      <c r="M13" s="1"/>
      <c r="N13" s="1"/>
      <c r="O13" s="1"/>
      <c r="P13" s="1"/>
      <c r="Q13" s="1"/>
      <c r="R13" s="1"/>
      <c r="S13" s="1"/>
      <c r="T13" s="1"/>
      <c r="U13" s="1">
        <f>U12*38.67</f>
        <v>1330.248</v>
      </c>
      <c r="V13" s="1"/>
      <c r="W13" s="1"/>
      <c r="X13" s="1"/>
      <c r="Y13" s="1"/>
      <c r="Z13" s="1"/>
      <c r="AA13" s="1"/>
      <c r="AB13" s="1"/>
    </row>
    <row r="14">
      <c r="A14" s="1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3"/>
      <c r="M14" s="1"/>
      <c r="N14" s="1"/>
      <c r="O14" s="1"/>
      <c r="P14" s="1"/>
      <c r="Q14" s="1"/>
      <c r="R14" s="1"/>
      <c r="S14" s="1"/>
      <c r="T14" s="1"/>
      <c r="U14" s="1">
        <f>U13-747.92</f>
        <v>582.328</v>
      </c>
      <c r="V14" s="1"/>
      <c r="W14" s="1"/>
      <c r="X14" s="1"/>
      <c r="Y14" s="1"/>
      <c r="Z14" s="1"/>
      <c r="AA14" s="1"/>
      <c r="AB14" s="1"/>
    </row>
    <row r="15">
      <c r="A15" s="1"/>
      <c r="B15" s="11">
        <v>27.0</v>
      </c>
      <c r="C15" s="12">
        <v>1.0</v>
      </c>
      <c r="D15" s="13">
        <v>1.0</v>
      </c>
      <c r="E15" s="28">
        <v>101.0</v>
      </c>
      <c r="F15" s="13" t="s">
        <v>42</v>
      </c>
      <c r="G15" s="13" t="s">
        <v>43</v>
      </c>
      <c r="H15" s="17"/>
      <c r="I15" s="17"/>
      <c r="J15" s="17"/>
      <c r="K15" s="17"/>
      <c r="L15" s="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25"/>
      <c r="C17" s="18"/>
      <c r="D17" s="13">
        <v>1.0</v>
      </c>
      <c r="E17" s="28">
        <v>102.0</v>
      </c>
      <c r="F17" s="13" t="s">
        <v>44</v>
      </c>
      <c r="G17" s="13" t="s">
        <v>45</v>
      </c>
      <c r="H17" s="3"/>
      <c r="I17" s="16"/>
      <c r="J17" s="17"/>
      <c r="K17" s="17"/>
      <c r="L17" s="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6"/>
      <c r="C18" s="17"/>
      <c r="D18" s="18"/>
      <c r="E18" s="18"/>
      <c r="F18" s="13" t="s">
        <v>46</v>
      </c>
      <c r="G18" s="13" t="s">
        <v>45</v>
      </c>
      <c r="H18" s="29" t="s">
        <v>47</v>
      </c>
      <c r="I18" s="13" t="s">
        <v>48</v>
      </c>
      <c r="J18" s="17"/>
      <c r="K18" s="17"/>
      <c r="L18" s="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25"/>
      <c r="C20" s="18"/>
      <c r="D20" s="13">
        <v>1.0</v>
      </c>
      <c r="E20" s="13">
        <v>104.0</v>
      </c>
      <c r="F20" s="13" t="s">
        <v>49</v>
      </c>
      <c r="G20" s="13" t="s">
        <v>50</v>
      </c>
      <c r="H20" s="13" t="s">
        <v>22</v>
      </c>
      <c r="I20" s="13" t="s">
        <v>51</v>
      </c>
      <c r="J20" s="13" t="s">
        <v>52</v>
      </c>
      <c r="K20" s="13">
        <v>18153.0</v>
      </c>
      <c r="L20" s="6"/>
      <c r="M20" s="1"/>
      <c r="N20" s="1"/>
      <c r="O20" s="15" t="s">
        <v>25</v>
      </c>
      <c r="V20" s="1"/>
      <c r="W20" s="1"/>
      <c r="X20" s="1"/>
      <c r="Y20" s="1"/>
      <c r="Z20" s="1"/>
      <c r="AA20" s="1"/>
      <c r="AB20" s="1"/>
    </row>
    <row r="21">
      <c r="A21" s="1"/>
      <c r="B21" s="16"/>
      <c r="C21" s="17"/>
      <c r="D21" s="17"/>
      <c r="E21" s="17"/>
      <c r="F21" s="13" t="s">
        <v>53</v>
      </c>
      <c r="G21" s="13" t="s">
        <v>54</v>
      </c>
      <c r="H21" s="17"/>
      <c r="I21" s="17"/>
      <c r="J21" s="13" t="s">
        <v>55</v>
      </c>
      <c r="K21" s="13" t="s">
        <v>56</v>
      </c>
      <c r="L21" s="3"/>
      <c r="M21" s="1"/>
      <c r="N21" s="1"/>
      <c r="V21" s="1"/>
      <c r="W21" s="1"/>
      <c r="X21" s="1"/>
      <c r="Y21" s="1"/>
      <c r="Z21" s="1"/>
      <c r="AA21" s="1"/>
      <c r="AB21" s="1"/>
    </row>
    <row r="22">
      <c r="A22" s="1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3"/>
      <c r="M22" s="1"/>
      <c r="N22" s="1"/>
      <c r="O22" s="20" t="s">
        <v>28</v>
      </c>
      <c r="P22" s="20" t="s">
        <v>29</v>
      </c>
      <c r="Q22" s="20" t="s">
        <v>30</v>
      </c>
      <c r="R22" s="20" t="s">
        <v>31</v>
      </c>
      <c r="S22" s="20" t="s">
        <v>32</v>
      </c>
      <c r="T22" s="21" t="s">
        <v>33</v>
      </c>
      <c r="U22" s="20" t="s">
        <v>34</v>
      </c>
      <c r="V22" s="1"/>
      <c r="W22" s="1"/>
      <c r="X22" s="1"/>
      <c r="Y22" s="1"/>
      <c r="Z22" s="1"/>
      <c r="AA22" s="1"/>
      <c r="AB22" s="1"/>
    </row>
    <row r="23">
      <c r="A23" s="1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3"/>
      <c r="M23" s="1"/>
      <c r="N23" s="1"/>
      <c r="O23" s="22">
        <f>309-225</f>
        <v>84</v>
      </c>
      <c r="P23" s="22">
        <v>4.0</v>
      </c>
      <c r="Q23" s="22">
        <v>3.0</v>
      </c>
      <c r="R23" s="22">
        <v>1.0</v>
      </c>
      <c r="S23" s="23">
        <f>O23-P23-Q23-R23</f>
        <v>76</v>
      </c>
      <c r="T23" s="24">
        <v>0.0</v>
      </c>
      <c r="U23" s="23">
        <f>(S23*3)-T23</f>
        <v>228</v>
      </c>
      <c r="V23" s="1"/>
      <c r="W23" s="1"/>
      <c r="X23" s="1"/>
      <c r="Y23" s="1"/>
      <c r="Z23" s="1"/>
      <c r="AA23" s="1"/>
      <c r="AB23" s="1"/>
    </row>
    <row r="24">
      <c r="A24" s="1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1">
        <v>27.0</v>
      </c>
      <c r="C25" s="12">
        <v>1.0</v>
      </c>
      <c r="D25" s="13">
        <v>2.0</v>
      </c>
      <c r="E25" s="13">
        <v>201.0</v>
      </c>
      <c r="F25" s="13" t="s">
        <v>57</v>
      </c>
      <c r="G25" s="13" t="s">
        <v>58</v>
      </c>
      <c r="H25" s="13" t="s">
        <v>22</v>
      </c>
      <c r="I25" s="13" t="s">
        <v>59</v>
      </c>
      <c r="J25" s="13">
        <v>144.0</v>
      </c>
      <c r="K25" s="13" t="s">
        <v>60</v>
      </c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6"/>
      <c r="C26" s="17"/>
      <c r="D26" s="18"/>
      <c r="E26" s="18"/>
      <c r="F26" s="13" t="s">
        <v>61</v>
      </c>
      <c r="G26" s="13" t="s">
        <v>58</v>
      </c>
      <c r="H26" s="17"/>
      <c r="I26" s="17"/>
      <c r="J26" s="13">
        <v>141.0</v>
      </c>
      <c r="K26" s="13" t="s">
        <v>62</v>
      </c>
      <c r="L26" s="6"/>
      <c r="M26" s="1"/>
      <c r="N26" s="1"/>
      <c r="O26" s="1"/>
      <c r="P26" s="1"/>
      <c r="Q26" s="1"/>
      <c r="R26" s="1"/>
      <c r="S26" s="1"/>
      <c r="T26" s="1"/>
      <c r="U26" s="1">
        <f>U23-180</f>
        <v>48</v>
      </c>
      <c r="V26" s="1"/>
      <c r="W26" s="1"/>
      <c r="X26" s="1"/>
      <c r="Y26" s="1"/>
      <c r="Z26" s="1"/>
      <c r="AA26" s="1"/>
      <c r="AB26" s="1"/>
    </row>
    <row r="27">
      <c r="A27" s="1"/>
      <c r="B27" s="16"/>
      <c r="C27" s="17"/>
      <c r="D27" s="18"/>
      <c r="E27" s="18"/>
      <c r="F27" s="13" t="s">
        <v>63</v>
      </c>
      <c r="G27" s="13" t="s">
        <v>58</v>
      </c>
      <c r="H27" s="17"/>
      <c r="I27" s="17"/>
      <c r="J27" s="13">
        <v>145.0</v>
      </c>
      <c r="K27" s="13" t="s">
        <v>60</v>
      </c>
      <c r="L27" s="6"/>
      <c r="M27" s="1"/>
      <c r="N27" s="1"/>
      <c r="O27" s="1"/>
      <c r="P27" s="1"/>
      <c r="Q27" s="1"/>
      <c r="R27" s="1"/>
      <c r="S27" s="1"/>
      <c r="T27" s="1"/>
      <c r="U27" s="1">
        <f>U26*39</f>
        <v>1872</v>
      </c>
      <c r="V27" s="1"/>
      <c r="W27" s="1"/>
      <c r="X27" s="1"/>
      <c r="Y27" s="1"/>
      <c r="Z27" s="1"/>
      <c r="AA27" s="1"/>
      <c r="AB27" s="1"/>
    </row>
    <row r="28">
      <c r="A28" s="1"/>
      <c r="B28" s="16"/>
      <c r="C28" s="17"/>
      <c r="D28" s="18"/>
      <c r="E28" s="18"/>
      <c r="F28" s="13" t="s">
        <v>64</v>
      </c>
      <c r="G28" s="13" t="s">
        <v>58</v>
      </c>
      <c r="H28" s="18"/>
      <c r="I28" s="18"/>
      <c r="J28" s="13">
        <v>90.0</v>
      </c>
      <c r="K28" s="30">
        <v>7122.0</v>
      </c>
      <c r="L28" s="31"/>
      <c r="M28" s="1"/>
      <c r="N28" s="1"/>
      <c r="O28" s="32" t="s">
        <v>65</v>
      </c>
      <c r="P28" s="32" t="s">
        <v>66</v>
      </c>
      <c r="Q28" s="1"/>
      <c r="R28" s="1"/>
      <c r="S28" s="1"/>
      <c r="T28" s="1"/>
      <c r="U28" s="1">
        <f>U27-700</f>
        <v>1172</v>
      </c>
      <c r="V28" s="1"/>
      <c r="W28" s="2">
        <f>115*3</f>
        <v>345</v>
      </c>
      <c r="X28" s="2">
        <f>863-345</f>
        <v>518</v>
      </c>
      <c r="Y28" s="1"/>
      <c r="Z28" s="1"/>
      <c r="AA28" s="1"/>
      <c r="AB28" s="1"/>
    </row>
    <row r="29">
      <c r="A29" s="1"/>
      <c r="B29" s="16"/>
      <c r="C29" s="17"/>
      <c r="D29" s="18"/>
      <c r="E29" s="18"/>
      <c r="F29" s="13" t="s">
        <v>49</v>
      </c>
      <c r="G29" s="13" t="s">
        <v>58</v>
      </c>
      <c r="H29" s="13" t="s">
        <v>22</v>
      </c>
      <c r="I29" s="13" t="s">
        <v>67</v>
      </c>
      <c r="J29" s="13">
        <v>142.0</v>
      </c>
      <c r="K29" s="13" t="s">
        <v>60</v>
      </c>
      <c r="L29" s="6"/>
      <c r="M29" s="1"/>
      <c r="N29" s="1"/>
      <c r="O29" s="1"/>
      <c r="P29" s="1"/>
      <c r="Q29" s="1"/>
      <c r="R29" s="1"/>
      <c r="S29" s="1"/>
      <c r="T29" s="1"/>
      <c r="U29" s="1">
        <f>U28-518</f>
        <v>654</v>
      </c>
      <c r="V29" s="1"/>
      <c r="W29" s="1"/>
      <c r="X29" s="1"/>
      <c r="Y29" s="1"/>
      <c r="Z29" s="1"/>
      <c r="AA29" s="1"/>
      <c r="AB29" s="1"/>
    </row>
    <row r="30">
      <c r="A30" s="1"/>
      <c r="B30" s="16"/>
      <c r="C30" s="17"/>
      <c r="D30" s="18"/>
      <c r="E30" s="18"/>
      <c r="F30" s="13" t="s">
        <v>49</v>
      </c>
      <c r="G30" s="13" t="s">
        <v>58</v>
      </c>
      <c r="H30" s="13" t="s">
        <v>22</v>
      </c>
      <c r="I30" s="13" t="s">
        <v>68</v>
      </c>
      <c r="J30" s="13"/>
      <c r="K30" s="13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6"/>
      <c r="C31" s="17"/>
      <c r="D31" s="18"/>
      <c r="E31" s="18"/>
      <c r="F31" s="13" t="s">
        <v>69</v>
      </c>
      <c r="G31" s="13" t="s">
        <v>70</v>
      </c>
      <c r="H31" s="17"/>
      <c r="I31" s="17"/>
      <c r="J31" s="13">
        <v>143.0</v>
      </c>
      <c r="K31" s="13" t="s">
        <v>62</v>
      </c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1">
        <v>27.0</v>
      </c>
      <c r="C33" s="12">
        <v>1.0</v>
      </c>
      <c r="D33" s="13">
        <v>2.0</v>
      </c>
      <c r="E33" s="13">
        <v>202.0</v>
      </c>
      <c r="F33" s="13" t="s">
        <v>63</v>
      </c>
      <c r="G33" s="13" t="s">
        <v>71</v>
      </c>
      <c r="H33" s="13" t="s">
        <v>22</v>
      </c>
      <c r="I33" s="13" t="s">
        <v>72</v>
      </c>
      <c r="J33" s="13">
        <v>277.0</v>
      </c>
      <c r="K33" s="13" t="s">
        <v>73</v>
      </c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6"/>
      <c r="C34" s="17"/>
      <c r="D34" s="18"/>
      <c r="E34" s="18"/>
      <c r="F34" s="13" t="s">
        <v>74</v>
      </c>
      <c r="G34" s="13" t="s">
        <v>75</v>
      </c>
      <c r="H34" s="17"/>
      <c r="I34" s="17"/>
      <c r="J34" s="17"/>
      <c r="K34" s="17"/>
      <c r="L34" s="3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6"/>
      <c r="C35" s="17"/>
      <c r="D35" s="17"/>
      <c r="E35" s="17"/>
      <c r="F35" s="13" t="s">
        <v>76</v>
      </c>
      <c r="G35" s="13" t="s">
        <v>71</v>
      </c>
      <c r="H35" s="13" t="s">
        <v>22</v>
      </c>
      <c r="I35" s="13" t="s">
        <v>77</v>
      </c>
      <c r="J35" s="13">
        <v>276.0</v>
      </c>
      <c r="K35" s="13" t="s">
        <v>78</v>
      </c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25"/>
      <c r="C36" s="18"/>
      <c r="D36" s="13"/>
      <c r="E36" s="13"/>
      <c r="F36" s="13"/>
      <c r="G36" s="13"/>
      <c r="H36" s="13"/>
      <c r="I36" s="13"/>
      <c r="J36" s="17"/>
      <c r="K36" s="17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25"/>
      <c r="C37" s="18"/>
      <c r="D37" s="13">
        <v>2.0</v>
      </c>
      <c r="E37" s="13">
        <v>204.0</v>
      </c>
      <c r="F37" s="13" t="s">
        <v>79</v>
      </c>
      <c r="G37" s="13" t="s">
        <v>80</v>
      </c>
      <c r="H37" s="13" t="s">
        <v>22</v>
      </c>
      <c r="I37" s="13" t="s">
        <v>81</v>
      </c>
      <c r="J37" s="17"/>
      <c r="K37" s="17"/>
      <c r="L37" s="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6"/>
      <c r="C38" s="17"/>
      <c r="D38" s="18"/>
      <c r="E38" s="18"/>
      <c r="F38" s="13" t="s">
        <v>82</v>
      </c>
      <c r="G38" s="13" t="s">
        <v>80</v>
      </c>
      <c r="H38" s="17"/>
      <c r="I38" s="17"/>
      <c r="J38" s="17"/>
      <c r="K38" s="17"/>
      <c r="L38" s="3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6"/>
      <c r="C39" s="17"/>
      <c r="D39" s="17"/>
      <c r="E39" s="18"/>
      <c r="F39" s="17"/>
      <c r="G39" s="13" t="s">
        <v>80</v>
      </c>
      <c r="H39" s="17"/>
      <c r="I39" s="17"/>
      <c r="J39" s="17"/>
      <c r="K39" s="17"/>
      <c r="L39" s="3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3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1">
        <v>27.0</v>
      </c>
      <c r="C41" s="12">
        <v>1.0</v>
      </c>
      <c r="D41" s="13">
        <v>3.0</v>
      </c>
      <c r="E41" s="13">
        <v>301.0</v>
      </c>
      <c r="F41" s="13" t="s">
        <v>83</v>
      </c>
      <c r="G41" s="13" t="s">
        <v>45</v>
      </c>
      <c r="H41" s="13" t="s">
        <v>22</v>
      </c>
      <c r="I41" s="13" t="s">
        <v>84</v>
      </c>
      <c r="J41" s="13">
        <v>22.0</v>
      </c>
      <c r="K41" s="30" t="s">
        <v>85</v>
      </c>
      <c r="L41" s="3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6"/>
      <c r="C42" s="33"/>
      <c r="D42" s="18"/>
      <c r="E42" s="18"/>
      <c r="F42" s="13" t="s">
        <v>83</v>
      </c>
      <c r="G42" s="13" t="s">
        <v>86</v>
      </c>
      <c r="H42" s="13" t="s">
        <v>87</v>
      </c>
      <c r="I42" s="13" t="s">
        <v>88</v>
      </c>
      <c r="J42" s="17"/>
      <c r="K42" s="17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3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25"/>
      <c r="C44" s="18"/>
      <c r="D44" s="13">
        <v>3.0</v>
      </c>
      <c r="E44" s="28">
        <v>302.0</v>
      </c>
      <c r="F44" s="13" t="s">
        <v>89</v>
      </c>
      <c r="G44" s="13" t="s">
        <v>43</v>
      </c>
      <c r="H44" s="13" t="s">
        <v>47</v>
      </c>
      <c r="I44" s="13" t="s">
        <v>90</v>
      </c>
      <c r="J44" s="17"/>
      <c r="K44" s="17"/>
      <c r="L44" s="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6"/>
      <c r="C45" s="17"/>
      <c r="D45" s="18"/>
      <c r="E45" s="18"/>
      <c r="F45" s="13" t="s">
        <v>89</v>
      </c>
      <c r="G45" s="13" t="s">
        <v>91</v>
      </c>
      <c r="H45" s="13" t="s">
        <v>47</v>
      </c>
      <c r="I45" s="13" t="s">
        <v>92</v>
      </c>
      <c r="J45" s="17"/>
      <c r="K45" s="17"/>
      <c r="L45" s="3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6"/>
      <c r="C46" s="17"/>
      <c r="D46" s="18"/>
      <c r="E46" s="18"/>
      <c r="F46" s="13" t="s">
        <v>93</v>
      </c>
      <c r="G46" s="13" t="s">
        <v>43</v>
      </c>
      <c r="H46" s="17"/>
      <c r="I46" s="17"/>
      <c r="J46" s="17"/>
      <c r="K46" s="17"/>
      <c r="L46" s="3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3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25"/>
      <c r="C48" s="18"/>
      <c r="D48" s="13">
        <v>3.0</v>
      </c>
      <c r="E48" s="28">
        <v>304.0</v>
      </c>
      <c r="F48" s="13" t="s">
        <v>94</v>
      </c>
      <c r="G48" s="13" t="s">
        <v>95</v>
      </c>
      <c r="H48" s="13" t="s">
        <v>22</v>
      </c>
      <c r="I48" s="13" t="s">
        <v>96</v>
      </c>
      <c r="J48" s="17"/>
      <c r="K48" s="17"/>
      <c r="L48" s="3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6"/>
      <c r="C49" s="17"/>
      <c r="D49" s="18"/>
      <c r="E49" s="18"/>
      <c r="F49" s="13" t="s">
        <v>97</v>
      </c>
      <c r="G49" s="13" t="s">
        <v>95</v>
      </c>
      <c r="H49" s="18"/>
      <c r="I49" s="18"/>
      <c r="J49" s="13">
        <v>20.0</v>
      </c>
      <c r="K49" s="34">
        <v>43769.0</v>
      </c>
      <c r="L49" s="3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6"/>
      <c r="C50" s="17"/>
      <c r="D50" s="18"/>
      <c r="E50" s="18"/>
      <c r="F50" s="13" t="s">
        <v>98</v>
      </c>
      <c r="G50" s="13" t="s">
        <v>95</v>
      </c>
      <c r="H50" s="18"/>
      <c r="I50" s="7"/>
      <c r="J50" s="35">
        <v>21.0</v>
      </c>
      <c r="K50" s="36"/>
      <c r="L50" s="3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6"/>
      <c r="C51" s="17"/>
      <c r="D51" s="18"/>
      <c r="E51" s="18"/>
      <c r="F51" s="13" t="s">
        <v>99</v>
      </c>
      <c r="G51" s="13" t="s">
        <v>95</v>
      </c>
      <c r="H51" s="13" t="s">
        <v>22</v>
      </c>
      <c r="I51" s="29" t="s">
        <v>100</v>
      </c>
      <c r="J51" s="17"/>
      <c r="K51" s="17"/>
      <c r="L51" s="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1">
        <v>27.0</v>
      </c>
      <c r="C53" s="12">
        <v>1.0</v>
      </c>
      <c r="D53" s="13">
        <v>4.0</v>
      </c>
      <c r="E53" s="13">
        <v>401.0</v>
      </c>
      <c r="F53" s="13" t="s">
        <v>101</v>
      </c>
      <c r="G53" s="17"/>
      <c r="H53" s="17"/>
      <c r="I53" s="17"/>
      <c r="J53" s="17"/>
      <c r="K53" s="17"/>
      <c r="L53" s="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25"/>
      <c r="C55" s="18"/>
      <c r="D55" s="13">
        <v>4.0</v>
      </c>
      <c r="E55" s="13">
        <v>402.0</v>
      </c>
      <c r="F55" s="13" t="s">
        <v>102</v>
      </c>
      <c r="G55" s="13" t="s">
        <v>103</v>
      </c>
      <c r="H55" s="13" t="s">
        <v>22</v>
      </c>
      <c r="I55" s="13" t="s">
        <v>104</v>
      </c>
      <c r="J55" s="13">
        <v>285.0</v>
      </c>
      <c r="K55" s="26">
        <v>3.0</v>
      </c>
      <c r="L55" s="27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6"/>
      <c r="C56" s="17"/>
      <c r="D56" s="18"/>
      <c r="E56" s="18"/>
      <c r="F56" s="13" t="s">
        <v>105</v>
      </c>
      <c r="G56" s="13" t="s">
        <v>103</v>
      </c>
      <c r="H56" s="13" t="s">
        <v>22</v>
      </c>
      <c r="I56" s="13" t="s">
        <v>106</v>
      </c>
      <c r="J56" s="17"/>
      <c r="K56" s="17"/>
      <c r="L56" s="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6"/>
      <c r="C57" s="17"/>
      <c r="D57" s="18"/>
      <c r="E57" s="18"/>
      <c r="F57" s="13" t="s">
        <v>107</v>
      </c>
      <c r="G57" s="13" t="s">
        <v>103</v>
      </c>
      <c r="H57" s="18"/>
      <c r="I57" s="18"/>
      <c r="J57" s="13" t="s">
        <v>108</v>
      </c>
      <c r="K57" s="34">
        <v>9975.0</v>
      </c>
      <c r="L57" s="3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6"/>
      <c r="C58" s="17"/>
      <c r="D58" s="18"/>
      <c r="E58" s="18"/>
      <c r="F58" s="13" t="s">
        <v>109</v>
      </c>
      <c r="G58" s="13" t="s">
        <v>110</v>
      </c>
      <c r="H58" s="18"/>
      <c r="I58" s="18"/>
      <c r="J58" s="13">
        <v>4.0</v>
      </c>
      <c r="K58" s="36"/>
      <c r="L58" s="3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6"/>
      <c r="C59" s="17"/>
      <c r="D59" s="18"/>
      <c r="E59" s="18"/>
      <c r="F59" s="13" t="s">
        <v>111</v>
      </c>
      <c r="G59" s="13" t="s">
        <v>112</v>
      </c>
      <c r="H59" s="18"/>
      <c r="I59" s="18"/>
      <c r="J59" s="13">
        <v>5.0</v>
      </c>
      <c r="K59" s="13" t="s">
        <v>113</v>
      </c>
      <c r="L59" s="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6"/>
      <c r="C60" s="17"/>
      <c r="D60" s="18"/>
      <c r="E60" s="18"/>
      <c r="F60" s="13"/>
      <c r="G60" s="13"/>
      <c r="H60" s="18"/>
      <c r="I60" s="18"/>
      <c r="J60" s="13"/>
      <c r="K60" s="13"/>
      <c r="L60" s="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25"/>
      <c r="C61" s="18"/>
      <c r="D61" s="13">
        <v>4.0</v>
      </c>
      <c r="E61" s="13">
        <v>404.0</v>
      </c>
      <c r="F61" s="13" t="s">
        <v>114</v>
      </c>
      <c r="G61" s="13" t="s">
        <v>115</v>
      </c>
      <c r="H61" s="17"/>
      <c r="I61" s="17"/>
      <c r="J61" s="13">
        <v>187.0</v>
      </c>
      <c r="K61" s="37">
        <v>6.0</v>
      </c>
      <c r="L61" s="27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6"/>
      <c r="C62" s="17"/>
      <c r="D62" s="18"/>
      <c r="E62" s="18"/>
      <c r="F62" s="13" t="s">
        <v>116</v>
      </c>
      <c r="G62" s="13" t="s">
        <v>115</v>
      </c>
      <c r="H62" s="17"/>
      <c r="I62" s="17"/>
      <c r="J62" s="13">
        <v>188.0</v>
      </c>
      <c r="K62" s="19"/>
      <c r="L62" s="27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38">
        <v>27.0</v>
      </c>
      <c r="C65" s="39">
        <v>2.0</v>
      </c>
      <c r="D65" s="13" t="s">
        <v>19</v>
      </c>
      <c r="E65" s="40">
        <v>1.0</v>
      </c>
      <c r="F65" s="13" t="s">
        <v>117</v>
      </c>
      <c r="G65" s="13" t="s">
        <v>118</v>
      </c>
      <c r="H65" s="13" t="s">
        <v>47</v>
      </c>
      <c r="I65" s="13" t="s">
        <v>119</v>
      </c>
      <c r="J65" s="13" t="s">
        <v>120</v>
      </c>
      <c r="K65" s="13" t="s">
        <v>121</v>
      </c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6"/>
      <c r="C66" s="17"/>
      <c r="D66" s="17"/>
      <c r="E66" s="17"/>
      <c r="F66" s="29" t="s">
        <v>122</v>
      </c>
      <c r="G66" s="29" t="s">
        <v>118</v>
      </c>
      <c r="H66" s="16"/>
      <c r="I66" s="17"/>
      <c r="J66" s="17"/>
      <c r="K66" s="17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6"/>
      <c r="C67" s="17"/>
      <c r="D67" s="18"/>
      <c r="E67" s="18"/>
      <c r="F67" s="13" t="s">
        <v>123</v>
      </c>
      <c r="G67" s="13" t="s">
        <v>118</v>
      </c>
      <c r="H67" s="17"/>
      <c r="I67" s="17"/>
      <c r="J67" s="17"/>
      <c r="K67" s="17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6"/>
      <c r="C68" s="17"/>
      <c r="D68" s="18"/>
      <c r="E68" s="18"/>
      <c r="F68" s="41"/>
      <c r="G68" s="41"/>
      <c r="H68" s="17"/>
      <c r="I68" s="17"/>
      <c r="J68" s="17"/>
      <c r="K68" s="17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25"/>
      <c r="C70" s="18"/>
      <c r="D70" s="13" t="s">
        <v>19</v>
      </c>
      <c r="E70" s="13">
        <v>2.0</v>
      </c>
      <c r="F70" s="13" t="s">
        <v>105</v>
      </c>
      <c r="G70" s="13" t="s">
        <v>124</v>
      </c>
      <c r="H70" s="13" t="s">
        <v>22</v>
      </c>
      <c r="I70" s="13" t="s">
        <v>125</v>
      </c>
      <c r="J70" s="17"/>
      <c r="K70" s="17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6"/>
      <c r="C71" s="17"/>
      <c r="D71" s="18"/>
      <c r="E71" s="18"/>
      <c r="F71" s="13" t="s">
        <v>126</v>
      </c>
      <c r="G71" s="13" t="s">
        <v>127</v>
      </c>
      <c r="H71" s="17"/>
      <c r="I71" s="17"/>
      <c r="J71" s="13">
        <v>247.0</v>
      </c>
      <c r="K71" s="26">
        <v>3.0</v>
      </c>
      <c r="L71" s="27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6"/>
      <c r="C72" s="17"/>
      <c r="D72" s="18"/>
      <c r="E72" s="18"/>
      <c r="F72" s="13" t="s">
        <v>128</v>
      </c>
      <c r="G72" s="13" t="s">
        <v>129</v>
      </c>
      <c r="H72" s="13" t="s">
        <v>22</v>
      </c>
      <c r="I72" s="13" t="s">
        <v>130</v>
      </c>
      <c r="J72" s="17"/>
      <c r="K72" s="17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6"/>
      <c r="C73" s="17"/>
      <c r="D73" s="18"/>
      <c r="E73" s="18"/>
      <c r="F73" s="13" t="s">
        <v>131</v>
      </c>
      <c r="G73" s="13" t="s">
        <v>129</v>
      </c>
      <c r="H73" s="17"/>
      <c r="I73" s="17"/>
      <c r="J73" s="13">
        <v>248.0</v>
      </c>
      <c r="K73" s="13" t="s">
        <v>132</v>
      </c>
      <c r="L73" s="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6"/>
      <c r="C74" s="17"/>
      <c r="D74" s="17"/>
      <c r="E74" s="17"/>
      <c r="F74" s="13" t="s">
        <v>133</v>
      </c>
      <c r="G74" s="13" t="s">
        <v>129</v>
      </c>
      <c r="H74" s="13" t="s">
        <v>87</v>
      </c>
      <c r="I74" s="13" t="s">
        <v>134</v>
      </c>
      <c r="J74" s="17"/>
      <c r="K74" s="17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25"/>
      <c r="C76" s="18"/>
      <c r="D76" s="13" t="s">
        <v>19</v>
      </c>
      <c r="E76" s="13">
        <v>3.0</v>
      </c>
      <c r="F76" s="13" t="s">
        <v>135</v>
      </c>
      <c r="G76" s="13" t="s">
        <v>136</v>
      </c>
      <c r="H76" s="17"/>
      <c r="I76" s="17"/>
      <c r="J76" s="17"/>
      <c r="K76" s="17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6"/>
      <c r="C77" s="17"/>
      <c r="D77" s="18"/>
      <c r="E77" s="18"/>
      <c r="F77" s="13" t="s">
        <v>137</v>
      </c>
      <c r="G77" s="13" t="s">
        <v>138</v>
      </c>
      <c r="H77" s="18"/>
      <c r="I77" s="18"/>
      <c r="J77" s="13">
        <v>36.0</v>
      </c>
      <c r="K77" s="42" t="s">
        <v>62</v>
      </c>
      <c r="L77" s="4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6"/>
      <c r="C78" s="17"/>
      <c r="D78" s="44"/>
      <c r="E78" s="18"/>
      <c r="F78" s="13" t="s">
        <v>139</v>
      </c>
      <c r="G78" s="13" t="s">
        <v>136</v>
      </c>
      <c r="H78" s="13" t="s">
        <v>22</v>
      </c>
      <c r="I78" s="13" t="s">
        <v>140</v>
      </c>
      <c r="J78" s="13">
        <v>23.0</v>
      </c>
      <c r="K78" s="42" t="s">
        <v>62</v>
      </c>
      <c r="L78" s="4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6"/>
      <c r="C79" s="17"/>
      <c r="D79" s="18"/>
      <c r="E79" s="18"/>
      <c r="F79" s="13" t="s">
        <v>139</v>
      </c>
      <c r="G79" s="13" t="s">
        <v>136</v>
      </c>
      <c r="H79" s="14" t="s">
        <v>22</v>
      </c>
      <c r="I79" s="13" t="s">
        <v>141</v>
      </c>
      <c r="J79" s="13"/>
      <c r="K79" s="45"/>
      <c r="L79" s="4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6"/>
      <c r="C80" s="17"/>
      <c r="D80" s="18"/>
      <c r="E80" s="18"/>
      <c r="F80" s="13" t="s">
        <v>139</v>
      </c>
      <c r="G80" s="13" t="s">
        <v>136</v>
      </c>
      <c r="H80" s="14" t="s">
        <v>22</v>
      </c>
      <c r="I80" s="13" t="s">
        <v>142</v>
      </c>
      <c r="J80" s="13"/>
      <c r="K80" s="45"/>
      <c r="L80" s="4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6"/>
      <c r="C81" s="17"/>
      <c r="D81" s="18"/>
      <c r="E81" s="18"/>
      <c r="F81" s="13" t="s">
        <v>143</v>
      </c>
      <c r="G81" s="13" t="s">
        <v>144</v>
      </c>
      <c r="H81" s="14" t="s">
        <v>22</v>
      </c>
      <c r="I81" s="13" t="s">
        <v>145</v>
      </c>
      <c r="J81" s="17"/>
      <c r="K81" s="17"/>
      <c r="L81" s="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6"/>
      <c r="C82" s="17"/>
      <c r="D82" s="17"/>
      <c r="E82" s="17"/>
      <c r="F82" s="17"/>
      <c r="G82" s="17"/>
      <c r="H82" s="47"/>
      <c r="I82" s="17"/>
      <c r="J82" s="17"/>
      <c r="K82" s="17"/>
      <c r="L82" s="3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25"/>
      <c r="C83" s="18"/>
      <c r="D83" s="13" t="s">
        <v>19</v>
      </c>
      <c r="E83" s="14">
        <v>4.0</v>
      </c>
      <c r="F83" s="14" t="s">
        <v>146</v>
      </c>
      <c r="G83" s="14" t="s">
        <v>147</v>
      </c>
      <c r="H83" s="14" t="s">
        <v>22</v>
      </c>
      <c r="I83" s="14" t="s">
        <v>148</v>
      </c>
      <c r="J83" s="48">
        <v>380381.0</v>
      </c>
      <c r="K83" s="13" t="s">
        <v>149</v>
      </c>
      <c r="L83" s="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6"/>
      <c r="C84" s="17"/>
      <c r="D84" s="49"/>
      <c r="E84" s="50"/>
      <c r="F84" s="50"/>
      <c r="G84" s="50"/>
      <c r="H84" s="51"/>
      <c r="I84" s="50"/>
      <c r="J84" s="52"/>
      <c r="K84" s="52"/>
      <c r="L84" s="3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6"/>
      <c r="C85" s="17"/>
      <c r="D85" s="49"/>
      <c r="E85" s="50"/>
      <c r="F85" s="50"/>
      <c r="G85" s="50"/>
      <c r="H85" s="51"/>
      <c r="I85" s="50"/>
      <c r="J85" s="14">
        <v>234.0</v>
      </c>
      <c r="K85" s="52"/>
      <c r="L85" s="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6"/>
      <c r="C86" s="17"/>
      <c r="D86" s="49"/>
      <c r="E86" s="50"/>
      <c r="F86" s="50"/>
      <c r="G86" s="50"/>
      <c r="H86" s="51"/>
      <c r="I86" s="50"/>
      <c r="J86" s="52"/>
      <c r="K86" s="52"/>
      <c r="L86" s="3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38">
        <v>27.0</v>
      </c>
      <c r="C87" s="39">
        <v>2.0</v>
      </c>
      <c r="D87" s="13">
        <v>1.0</v>
      </c>
      <c r="E87" s="53">
        <v>101.0</v>
      </c>
      <c r="F87" s="35" t="s">
        <v>150</v>
      </c>
      <c r="G87" s="54" t="s">
        <v>151</v>
      </c>
      <c r="H87" s="54" t="s">
        <v>87</v>
      </c>
      <c r="I87" s="13" t="s">
        <v>152</v>
      </c>
      <c r="J87" s="47"/>
      <c r="K87" s="47"/>
      <c r="L87" s="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6"/>
      <c r="C88" s="17"/>
      <c r="D88" s="18"/>
      <c r="E88" s="55"/>
      <c r="F88" s="35" t="s">
        <v>153</v>
      </c>
      <c r="G88" s="54" t="s">
        <v>151</v>
      </c>
      <c r="H88" s="54" t="s">
        <v>22</v>
      </c>
      <c r="I88" s="13" t="s">
        <v>154</v>
      </c>
      <c r="J88" s="13">
        <v>182.0</v>
      </c>
      <c r="K88" s="56" t="s">
        <v>155</v>
      </c>
      <c r="L88" s="5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6"/>
      <c r="C89" s="17"/>
      <c r="D89" s="18"/>
      <c r="E89" s="55"/>
      <c r="F89" s="35" t="s">
        <v>156</v>
      </c>
      <c r="G89" s="54" t="s">
        <v>151</v>
      </c>
      <c r="H89" s="58"/>
      <c r="I89" s="17"/>
      <c r="J89" s="13">
        <v>183.0</v>
      </c>
      <c r="K89" s="19"/>
      <c r="L89" s="5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6"/>
      <c r="C90" s="17"/>
      <c r="D90" s="18"/>
      <c r="E90" s="55"/>
      <c r="F90" s="35" t="s">
        <v>157</v>
      </c>
      <c r="G90" s="54" t="s">
        <v>151</v>
      </c>
      <c r="H90" s="58"/>
      <c r="I90" s="17"/>
      <c r="J90" s="13">
        <v>311.0</v>
      </c>
      <c r="K90" s="13">
        <v>4722.0</v>
      </c>
      <c r="L90" s="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6"/>
      <c r="C91" s="17"/>
      <c r="D91" s="18"/>
      <c r="E91" s="55"/>
      <c r="F91" s="35" t="s">
        <v>158</v>
      </c>
      <c r="G91" s="54" t="s">
        <v>151</v>
      </c>
      <c r="H91" s="58"/>
      <c r="I91" s="17"/>
      <c r="J91" s="17"/>
      <c r="K91" s="17"/>
      <c r="L91" s="3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6"/>
      <c r="C92" s="17"/>
      <c r="D92" s="18"/>
      <c r="E92" s="55"/>
      <c r="F92" s="35" t="s">
        <v>159</v>
      </c>
      <c r="G92" s="54" t="s">
        <v>151</v>
      </c>
      <c r="H92" s="58"/>
      <c r="I92" s="17"/>
      <c r="J92" s="17"/>
      <c r="K92" s="17"/>
      <c r="L92" s="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6"/>
      <c r="C93" s="17"/>
      <c r="D93" s="17"/>
      <c r="E93" s="17"/>
      <c r="F93" s="52"/>
      <c r="G93" s="52"/>
      <c r="H93" s="52"/>
      <c r="I93" s="52"/>
      <c r="J93" s="52"/>
      <c r="K93" s="52"/>
      <c r="L93" s="3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25"/>
      <c r="C94" s="18"/>
      <c r="D94" s="13">
        <v>1.0</v>
      </c>
      <c r="E94" s="53">
        <v>102.0</v>
      </c>
      <c r="F94" s="59" t="s">
        <v>160</v>
      </c>
      <c r="G94" s="29" t="s">
        <v>161</v>
      </c>
      <c r="H94" s="60"/>
      <c r="I94" s="61"/>
      <c r="J94" s="29">
        <v>33.0</v>
      </c>
      <c r="K94" s="62">
        <v>3.0</v>
      </c>
      <c r="L94" s="6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6"/>
      <c r="C95" s="17"/>
      <c r="D95" s="18"/>
      <c r="E95" s="55"/>
      <c r="F95" s="35" t="s">
        <v>162</v>
      </c>
      <c r="G95" s="13" t="s">
        <v>163</v>
      </c>
      <c r="H95" s="17"/>
      <c r="I95" s="17"/>
      <c r="J95" s="17"/>
      <c r="K95" s="17"/>
      <c r="L95" s="3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6"/>
      <c r="C96" s="17"/>
      <c r="D96" s="18"/>
      <c r="E96" s="55"/>
      <c r="F96" s="35" t="s">
        <v>63</v>
      </c>
      <c r="G96" s="13" t="s">
        <v>164</v>
      </c>
      <c r="H96" s="17"/>
      <c r="I96" s="17"/>
      <c r="J96" s="17"/>
      <c r="K96" s="64"/>
      <c r="L96" s="5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6"/>
      <c r="C97" s="17"/>
      <c r="D97" s="17"/>
      <c r="E97" s="49"/>
      <c r="F97" s="16"/>
      <c r="G97" s="17"/>
      <c r="H97" s="17"/>
      <c r="I97" s="17"/>
      <c r="J97" s="17"/>
      <c r="K97" s="64"/>
      <c r="L97" s="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25"/>
      <c r="C98" s="18"/>
      <c r="D98" s="13">
        <v>1.0</v>
      </c>
      <c r="E98" s="53">
        <v>103.0</v>
      </c>
      <c r="F98" s="35" t="s">
        <v>165</v>
      </c>
      <c r="G98" s="13" t="s">
        <v>45</v>
      </c>
      <c r="H98" s="17"/>
      <c r="I98" s="17"/>
      <c r="J98" s="13">
        <v>201.0</v>
      </c>
      <c r="K98" s="65" t="s">
        <v>60</v>
      </c>
      <c r="L98" s="6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6"/>
      <c r="C99" s="17"/>
      <c r="D99" s="18"/>
      <c r="E99" s="55"/>
      <c r="F99" s="35" t="s">
        <v>166</v>
      </c>
      <c r="G99" s="13" t="s">
        <v>71</v>
      </c>
      <c r="H99" s="13" t="s">
        <v>47</v>
      </c>
      <c r="I99" s="17"/>
      <c r="J99" s="17"/>
      <c r="K99" s="17"/>
      <c r="L99" s="3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6"/>
      <c r="C100" s="17"/>
      <c r="D100" s="18"/>
      <c r="E100" s="55"/>
      <c r="F100" s="35" t="s">
        <v>167</v>
      </c>
      <c r="G100" s="13" t="s">
        <v>45</v>
      </c>
      <c r="H100" s="17"/>
      <c r="I100" s="17"/>
      <c r="J100" s="17"/>
      <c r="K100" s="64"/>
      <c r="L100" s="5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6"/>
      <c r="C101" s="17"/>
      <c r="D101" s="18"/>
      <c r="E101" s="55"/>
      <c r="F101" s="35" t="s">
        <v>168</v>
      </c>
      <c r="G101" s="13" t="s">
        <v>45</v>
      </c>
      <c r="H101" s="17"/>
      <c r="I101" s="17"/>
      <c r="J101" s="17"/>
      <c r="K101" s="64"/>
      <c r="L101" s="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6"/>
      <c r="C102" s="17"/>
      <c r="D102" s="17"/>
      <c r="E102" s="49"/>
      <c r="F102" s="16"/>
      <c r="G102" s="17"/>
      <c r="H102" s="17"/>
      <c r="I102" s="17"/>
      <c r="J102" s="17"/>
      <c r="K102" s="64"/>
      <c r="L102" s="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38">
        <v>27.0</v>
      </c>
      <c r="C103" s="39">
        <v>2.0</v>
      </c>
      <c r="D103" s="13">
        <v>2.0</v>
      </c>
      <c r="E103" s="53">
        <v>201.0</v>
      </c>
      <c r="F103" s="35" t="s">
        <v>169</v>
      </c>
      <c r="G103" s="13" t="s">
        <v>170</v>
      </c>
      <c r="H103" s="13" t="s">
        <v>22</v>
      </c>
      <c r="I103" s="13" t="s">
        <v>171</v>
      </c>
      <c r="J103" s="17"/>
      <c r="K103" s="17"/>
      <c r="L103" s="3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6"/>
      <c r="C104" s="17"/>
      <c r="D104" s="44"/>
      <c r="E104" s="55"/>
      <c r="F104" s="35" t="s">
        <v>172</v>
      </c>
      <c r="G104" s="13" t="s">
        <v>45</v>
      </c>
      <c r="H104" s="13"/>
      <c r="I104" s="13"/>
      <c r="J104" s="17"/>
      <c r="K104" s="17"/>
      <c r="L104" s="3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6"/>
      <c r="C105" s="17"/>
      <c r="D105" s="18"/>
      <c r="E105" s="55"/>
      <c r="F105" s="35" t="s">
        <v>173</v>
      </c>
      <c r="G105" s="13" t="s">
        <v>170</v>
      </c>
      <c r="H105" s="17"/>
      <c r="I105" s="17"/>
      <c r="J105" s="17"/>
      <c r="K105" s="17"/>
      <c r="L105" s="3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6"/>
      <c r="C106" s="17"/>
      <c r="D106" s="18"/>
      <c r="E106" s="55"/>
      <c r="F106" s="35" t="s">
        <v>174</v>
      </c>
      <c r="G106" s="13" t="s">
        <v>175</v>
      </c>
      <c r="H106" s="17"/>
      <c r="I106" s="17"/>
      <c r="J106" s="13">
        <v>146.0</v>
      </c>
      <c r="K106" s="26">
        <v>3.0</v>
      </c>
      <c r="L106" s="27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6"/>
      <c r="C107" s="17"/>
      <c r="D107" s="18"/>
      <c r="E107" s="55"/>
      <c r="F107" s="35" t="s">
        <v>176</v>
      </c>
      <c r="G107" s="13" t="s">
        <v>170</v>
      </c>
      <c r="H107" s="13" t="s">
        <v>22</v>
      </c>
      <c r="I107" s="13" t="s">
        <v>177</v>
      </c>
      <c r="J107" s="13">
        <v>376.0</v>
      </c>
      <c r="K107" s="14" t="s">
        <v>178</v>
      </c>
      <c r="L107" s="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6"/>
      <c r="C108" s="17"/>
      <c r="D108" s="17"/>
      <c r="E108" s="49"/>
      <c r="F108" s="35" t="s">
        <v>176</v>
      </c>
      <c r="G108" s="13" t="s">
        <v>170</v>
      </c>
      <c r="H108" s="13" t="s">
        <v>22</v>
      </c>
      <c r="I108" s="13" t="s">
        <v>179</v>
      </c>
      <c r="J108" s="13">
        <v>377.0</v>
      </c>
      <c r="K108" s="67"/>
      <c r="L108" s="6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6"/>
      <c r="C109" s="17"/>
      <c r="D109" s="17"/>
      <c r="E109" s="49"/>
      <c r="F109" s="35" t="s">
        <v>180</v>
      </c>
      <c r="G109" s="13" t="s">
        <v>181</v>
      </c>
      <c r="H109" s="13"/>
      <c r="I109" s="13" t="s">
        <v>182</v>
      </c>
      <c r="J109" s="13">
        <v>378.0</v>
      </c>
      <c r="K109" s="19"/>
      <c r="L109" s="6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6"/>
      <c r="C110" s="17"/>
      <c r="D110" s="17"/>
      <c r="E110" s="49"/>
      <c r="F110" s="35"/>
      <c r="G110" s="13"/>
      <c r="H110" s="13"/>
      <c r="I110" s="17"/>
      <c r="J110" s="13"/>
      <c r="K110" s="17"/>
      <c r="L110" s="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25"/>
      <c r="C111" s="18"/>
      <c r="D111" s="13">
        <v>2.0</v>
      </c>
      <c r="E111" s="53">
        <v>202.0</v>
      </c>
      <c r="F111" s="35" t="s">
        <v>183</v>
      </c>
      <c r="G111" s="13" t="s">
        <v>184</v>
      </c>
      <c r="H111" s="13" t="s">
        <v>22</v>
      </c>
      <c r="I111" s="13" t="s">
        <v>185</v>
      </c>
      <c r="J111" s="41"/>
      <c r="K111" s="4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25"/>
      <c r="C112" s="18"/>
      <c r="D112" s="13"/>
      <c r="E112" s="53"/>
      <c r="F112" s="35" t="s">
        <v>186</v>
      </c>
      <c r="G112" s="13" t="s">
        <v>184</v>
      </c>
      <c r="H112" s="17"/>
      <c r="I112" s="17"/>
      <c r="J112" s="41"/>
      <c r="K112" s="4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6"/>
      <c r="C113" s="17"/>
      <c r="D113" s="18"/>
      <c r="E113" s="55"/>
      <c r="F113" s="35" t="s">
        <v>187</v>
      </c>
      <c r="G113" s="13" t="s">
        <v>188</v>
      </c>
      <c r="H113" s="13" t="s">
        <v>22</v>
      </c>
      <c r="I113" s="17"/>
      <c r="J113" s="68"/>
      <c r="K113" s="4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6"/>
      <c r="C114" s="17"/>
      <c r="D114" s="18"/>
      <c r="E114" s="55"/>
      <c r="F114" s="35" t="s">
        <v>189</v>
      </c>
      <c r="G114" s="13" t="s">
        <v>190</v>
      </c>
      <c r="H114" s="17"/>
      <c r="I114" s="17"/>
      <c r="J114" s="69"/>
      <c r="K114" s="69"/>
      <c r="L114" s="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6"/>
      <c r="C115" s="17"/>
      <c r="D115" s="17"/>
      <c r="E115" s="49"/>
      <c r="F115" s="35" t="s">
        <v>191</v>
      </c>
      <c r="G115" s="13" t="s">
        <v>184</v>
      </c>
      <c r="H115" s="17"/>
      <c r="I115" s="17"/>
      <c r="J115" s="13">
        <v>288.0</v>
      </c>
      <c r="K115" s="14">
        <v>90723.0</v>
      </c>
      <c r="L115" s="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6"/>
      <c r="C116" s="17"/>
      <c r="D116" s="17"/>
      <c r="E116" s="49"/>
      <c r="F116" s="35" t="s">
        <v>192</v>
      </c>
      <c r="G116" s="13" t="s">
        <v>188</v>
      </c>
      <c r="H116" s="17"/>
      <c r="I116" s="17"/>
      <c r="J116" s="13">
        <v>287.0</v>
      </c>
      <c r="K116" s="19"/>
      <c r="L116" s="6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6"/>
      <c r="C117" s="17"/>
      <c r="D117" s="17"/>
      <c r="E117" s="49"/>
      <c r="F117" s="16"/>
      <c r="G117" s="17"/>
      <c r="H117" s="17"/>
      <c r="I117" s="17"/>
      <c r="J117" s="17"/>
      <c r="K117" s="17"/>
      <c r="L117" s="3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25"/>
      <c r="C118" s="18"/>
      <c r="D118" s="13">
        <v>2.0</v>
      </c>
      <c r="E118" s="53">
        <v>203.0</v>
      </c>
      <c r="F118" s="35" t="s">
        <v>193</v>
      </c>
      <c r="G118" s="13" t="s">
        <v>194</v>
      </c>
      <c r="H118" s="17"/>
      <c r="I118" s="17"/>
      <c r="J118" s="13" t="s">
        <v>195</v>
      </c>
      <c r="K118" s="13">
        <v>52709.0</v>
      </c>
      <c r="L118" s="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6"/>
      <c r="C119" s="17"/>
      <c r="D119" s="18"/>
      <c r="E119" s="55"/>
      <c r="F119" s="35" t="s">
        <v>196</v>
      </c>
      <c r="G119" s="13" t="s">
        <v>194</v>
      </c>
      <c r="H119" s="17"/>
      <c r="I119" s="17"/>
      <c r="J119" s="13"/>
      <c r="K119" s="13"/>
      <c r="L119" s="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6"/>
      <c r="C120" s="17"/>
      <c r="D120" s="18"/>
      <c r="E120" s="55"/>
      <c r="F120" s="35" t="s">
        <v>197</v>
      </c>
      <c r="G120" s="13" t="s">
        <v>198</v>
      </c>
      <c r="H120" s="17"/>
      <c r="I120" s="17"/>
      <c r="J120" s="17"/>
      <c r="K120" s="17"/>
      <c r="L120" s="3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6"/>
      <c r="C121" s="17"/>
      <c r="D121" s="17"/>
      <c r="E121" s="49"/>
      <c r="F121" s="69"/>
      <c r="G121" s="69"/>
      <c r="H121" s="69"/>
      <c r="I121" s="69"/>
      <c r="J121" s="69"/>
      <c r="K121" s="69"/>
      <c r="L121" s="3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38">
        <v>27.0</v>
      </c>
      <c r="C122" s="39">
        <v>2.0</v>
      </c>
      <c r="D122" s="13">
        <v>3.0</v>
      </c>
      <c r="E122" s="70">
        <v>301.0</v>
      </c>
      <c r="F122" s="35" t="s">
        <v>199</v>
      </c>
      <c r="G122" s="13" t="s">
        <v>200</v>
      </c>
      <c r="H122" s="17"/>
      <c r="I122" s="17"/>
      <c r="J122" s="13" t="s">
        <v>201</v>
      </c>
      <c r="K122" s="13" t="s">
        <v>121</v>
      </c>
      <c r="L122" s="3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6"/>
      <c r="C123" s="17"/>
      <c r="D123" s="18"/>
      <c r="E123" s="55"/>
      <c r="F123" s="35"/>
      <c r="G123" s="13"/>
      <c r="H123" s="17"/>
      <c r="I123" s="17"/>
      <c r="J123" s="17"/>
      <c r="K123" s="17"/>
      <c r="L123" s="3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6"/>
      <c r="C124" s="17"/>
      <c r="D124" s="17"/>
      <c r="E124" s="49"/>
      <c r="F124" s="16"/>
      <c r="G124" s="17"/>
      <c r="H124" s="17"/>
      <c r="I124" s="17"/>
      <c r="J124" s="17"/>
      <c r="K124" s="17"/>
      <c r="L124" s="3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25"/>
      <c r="C125" s="18"/>
      <c r="D125" s="13">
        <v>3.0</v>
      </c>
      <c r="E125" s="53">
        <v>302.0</v>
      </c>
      <c r="F125" s="35" t="s">
        <v>202</v>
      </c>
      <c r="G125" s="13" t="s">
        <v>203</v>
      </c>
      <c r="H125" s="13" t="s">
        <v>22</v>
      </c>
      <c r="I125" s="13" t="s">
        <v>204</v>
      </c>
      <c r="J125" s="17"/>
      <c r="K125" s="17"/>
      <c r="L125" s="3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6"/>
      <c r="C126" s="17"/>
      <c r="D126" s="18"/>
      <c r="E126" s="55"/>
      <c r="F126" s="35" t="s">
        <v>205</v>
      </c>
      <c r="G126" s="13" t="s">
        <v>203</v>
      </c>
      <c r="H126" s="17"/>
      <c r="I126" s="17"/>
      <c r="J126" s="17"/>
      <c r="K126" s="17"/>
      <c r="L126" s="3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6"/>
      <c r="C127" s="17"/>
      <c r="D127" s="18"/>
      <c r="E127" s="55"/>
      <c r="F127" s="35" t="s">
        <v>206</v>
      </c>
      <c r="G127" s="13" t="s">
        <v>203</v>
      </c>
      <c r="H127" s="17"/>
      <c r="I127" s="17"/>
      <c r="J127" s="17"/>
      <c r="K127" s="17"/>
      <c r="L127" s="3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6"/>
      <c r="C128" s="17"/>
      <c r="D128" s="17"/>
      <c r="E128" s="49"/>
      <c r="F128" s="16"/>
      <c r="G128" s="17"/>
      <c r="H128" s="17"/>
      <c r="I128" s="17"/>
      <c r="J128" s="17"/>
      <c r="K128" s="64"/>
      <c r="L128" s="5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71"/>
      <c r="C129" s="18"/>
      <c r="D129" s="13">
        <v>3.0</v>
      </c>
      <c r="E129" s="53">
        <v>303.0</v>
      </c>
      <c r="F129" s="35" t="s">
        <v>207</v>
      </c>
      <c r="G129" s="13" t="s">
        <v>208</v>
      </c>
      <c r="H129" s="13" t="s">
        <v>22</v>
      </c>
      <c r="I129" s="26" t="s">
        <v>209</v>
      </c>
      <c r="J129" s="13">
        <v>74.0</v>
      </c>
      <c r="K129" s="72">
        <v>6.0</v>
      </c>
      <c r="L129" s="73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6"/>
      <c r="C130" s="17"/>
      <c r="D130" s="18"/>
      <c r="E130" s="55"/>
      <c r="F130" s="35" t="s">
        <v>210</v>
      </c>
      <c r="G130" s="13" t="s">
        <v>208</v>
      </c>
      <c r="H130" s="18"/>
      <c r="I130" s="74"/>
      <c r="J130" s="13">
        <v>73.0</v>
      </c>
      <c r="K130" s="75"/>
      <c r="L130" s="73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6"/>
      <c r="C131" s="17"/>
      <c r="D131" s="18"/>
      <c r="E131" s="55"/>
      <c r="F131" s="35" t="s">
        <v>211</v>
      </c>
      <c r="G131" s="13" t="s">
        <v>208</v>
      </c>
      <c r="H131" s="13" t="s">
        <v>87</v>
      </c>
      <c r="I131" s="13" t="s">
        <v>212</v>
      </c>
      <c r="J131" s="17"/>
      <c r="K131" s="17"/>
      <c r="L131" s="3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6"/>
      <c r="C132" s="17"/>
      <c r="D132" s="18"/>
      <c r="E132" s="55"/>
      <c r="F132" s="35" t="s">
        <v>213</v>
      </c>
      <c r="G132" s="13" t="s">
        <v>208</v>
      </c>
      <c r="H132" s="17"/>
      <c r="I132" s="17"/>
      <c r="J132" s="17"/>
      <c r="K132" s="17"/>
      <c r="L132" s="3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6"/>
      <c r="C133" s="17"/>
      <c r="D133" s="18"/>
      <c r="E133" s="55"/>
      <c r="F133" s="35" t="s">
        <v>214</v>
      </c>
      <c r="G133" s="13" t="s">
        <v>208</v>
      </c>
      <c r="H133" s="17"/>
      <c r="I133" s="17"/>
      <c r="J133" s="17"/>
      <c r="K133" s="17"/>
      <c r="L133" s="3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6"/>
      <c r="C134" s="17"/>
      <c r="D134" s="17"/>
      <c r="E134" s="49"/>
      <c r="F134" s="16"/>
      <c r="G134" s="17"/>
      <c r="H134" s="17"/>
      <c r="I134" s="17"/>
      <c r="J134" s="17"/>
      <c r="K134" s="17"/>
      <c r="L134" s="3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38">
        <v>27.0</v>
      </c>
      <c r="C135" s="39">
        <v>2.0</v>
      </c>
      <c r="D135" s="13">
        <v>4.0</v>
      </c>
      <c r="E135" s="53">
        <v>401.0</v>
      </c>
      <c r="F135" s="59" t="s">
        <v>215</v>
      </c>
      <c r="G135" s="13" t="s">
        <v>216</v>
      </c>
      <c r="H135" s="13" t="s">
        <v>22</v>
      </c>
      <c r="I135" s="41"/>
      <c r="J135" s="13">
        <v>69.0</v>
      </c>
      <c r="K135" s="30">
        <v>47920.0</v>
      </c>
      <c r="L135" s="31"/>
      <c r="M135" s="1"/>
      <c r="N135" s="76"/>
      <c r="O135" s="76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6"/>
      <c r="C136" s="17"/>
      <c r="D136" s="18"/>
      <c r="E136" s="41"/>
      <c r="F136" s="35" t="s">
        <v>217</v>
      </c>
      <c r="G136" s="59" t="s">
        <v>216</v>
      </c>
      <c r="H136" s="77" t="s">
        <v>87</v>
      </c>
      <c r="I136" s="13"/>
      <c r="J136" s="78"/>
      <c r="K136" s="17"/>
      <c r="L136" s="3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6"/>
      <c r="C137" s="17"/>
      <c r="D137" s="18"/>
      <c r="E137" s="55"/>
      <c r="F137" s="35" t="s">
        <v>218</v>
      </c>
      <c r="G137" s="13" t="s">
        <v>216</v>
      </c>
      <c r="H137" s="13" t="s">
        <v>22</v>
      </c>
      <c r="I137" s="13" t="s">
        <v>219</v>
      </c>
      <c r="J137" s="13">
        <v>93.0</v>
      </c>
      <c r="K137" s="56">
        <v>37457.0</v>
      </c>
      <c r="L137" s="57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6"/>
      <c r="C138" s="17"/>
      <c r="D138" s="18"/>
      <c r="E138" s="55"/>
      <c r="F138" s="35" t="s">
        <v>220</v>
      </c>
      <c r="G138" s="13" t="s">
        <v>216</v>
      </c>
      <c r="H138" s="18"/>
      <c r="I138" s="17"/>
      <c r="J138" s="13">
        <v>92.0</v>
      </c>
      <c r="K138" s="67"/>
      <c r="L138" s="57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6"/>
      <c r="C139" s="17"/>
      <c r="D139" s="18"/>
      <c r="E139" s="55"/>
      <c r="F139" s="35" t="s">
        <v>221</v>
      </c>
      <c r="G139" s="13" t="s">
        <v>222</v>
      </c>
      <c r="H139" s="18"/>
      <c r="I139" s="17"/>
      <c r="J139" s="13">
        <v>91.0</v>
      </c>
      <c r="K139" s="19"/>
      <c r="L139" s="57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6"/>
      <c r="C140" s="17"/>
      <c r="D140" s="17"/>
      <c r="E140" s="49"/>
      <c r="F140" s="16"/>
      <c r="G140" s="17"/>
      <c r="H140" s="17"/>
      <c r="I140" s="17"/>
      <c r="J140" s="17"/>
      <c r="K140" s="17"/>
      <c r="L140" s="3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25"/>
      <c r="C141" s="18"/>
      <c r="D141" s="13">
        <v>4.0</v>
      </c>
      <c r="E141" s="53">
        <v>402.0</v>
      </c>
      <c r="F141" s="35" t="s">
        <v>223</v>
      </c>
      <c r="G141" s="13" t="s">
        <v>224</v>
      </c>
      <c r="H141" s="13" t="s">
        <v>22</v>
      </c>
      <c r="I141" s="13" t="s">
        <v>225</v>
      </c>
      <c r="J141" s="13">
        <v>358.0</v>
      </c>
      <c r="K141" s="26" t="s">
        <v>56</v>
      </c>
      <c r="L141" s="27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25"/>
      <c r="C142" s="18"/>
      <c r="D142" s="13"/>
      <c r="E142" s="53"/>
      <c r="F142" s="35" t="s">
        <v>226</v>
      </c>
      <c r="G142" s="13" t="s">
        <v>227</v>
      </c>
      <c r="H142" s="13"/>
      <c r="I142" s="13" t="s">
        <v>228</v>
      </c>
      <c r="J142" s="13">
        <v>164.0</v>
      </c>
      <c r="K142" s="26">
        <v>3.0</v>
      </c>
      <c r="L142" s="27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6"/>
      <c r="C143" s="17"/>
      <c r="D143" s="17"/>
      <c r="E143" s="49"/>
      <c r="F143" s="35" t="s">
        <v>229</v>
      </c>
      <c r="G143" s="13" t="s">
        <v>230</v>
      </c>
      <c r="H143" s="17"/>
      <c r="I143" s="13" t="s">
        <v>228</v>
      </c>
      <c r="J143" s="13">
        <v>327.0</v>
      </c>
      <c r="K143" s="26">
        <v>3.0</v>
      </c>
      <c r="L143" s="27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25"/>
      <c r="C144" s="18"/>
      <c r="D144" s="13">
        <v>4.0</v>
      </c>
      <c r="E144" s="53">
        <v>403.0</v>
      </c>
      <c r="F144" s="35" t="s">
        <v>231</v>
      </c>
      <c r="G144" s="13" t="s">
        <v>232</v>
      </c>
      <c r="H144" s="13" t="s">
        <v>22</v>
      </c>
      <c r="I144" s="13" t="s">
        <v>233</v>
      </c>
      <c r="J144" s="17"/>
      <c r="K144" s="17"/>
      <c r="L144" s="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25"/>
      <c r="C145" s="18"/>
      <c r="D145" s="13"/>
      <c r="E145" s="53"/>
      <c r="F145" s="35" t="s">
        <v>231</v>
      </c>
      <c r="G145" s="13" t="s">
        <v>232</v>
      </c>
      <c r="H145" s="13" t="s">
        <v>22</v>
      </c>
      <c r="I145" s="13" t="s">
        <v>234</v>
      </c>
      <c r="J145" s="17"/>
      <c r="K145" s="17"/>
      <c r="L145" s="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6"/>
      <c r="C146" s="17"/>
      <c r="D146" s="18"/>
      <c r="E146" s="55"/>
      <c r="F146" s="35" t="s">
        <v>235</v>
      </c>
      <c r="G146" s="13" t="s">
        <v>236</v>
      </c>
      <c r="H146" s="13" t="s">
        <v>22</v>
      </c>
      <c r="I146" s="13" t="s">
        <v>237</v>
      </c>
      <c r="J146" s="17"/>
      <c r="K146" s="64"/>
      <c r="L146" s="5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6"/>
      <c r="C147" s="17"/>
      <c r="D147" s="17"/>
      <c r="E147" s="49"/>
      <c r="F147" s="16"/>
      <c r="G147" s="17"/>
      <c r="H147" s="17"/>
      <c r="I147" s="17"/>
      <c r="J147" s="17"/>
      <c r="K147" s="64"/>
      <c r="L147" s="5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6"/>
      <c r="C148" s="17"/>
      <c r="D148" s="17"/>
      <c r="E148" s="49"/>
      <c r="F148" s="79"/>
      <c r="G148" s="52"/>
      <c r="H148" s="52"/>
      <c r="I148" s="52"/>
      <c r="J148" s="52"/>
      <c r="K148" s="80"/>
      <c r="L148" s="5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81">
        <v>27.0</v>
      </c>
      <c r="C149" s="82">
        <v>3.0</v>
      </c>
      <c r="D149" s="13" t="s">
        <v>19</v>
      </c>
      <c r="E149" s="83">
        <v>1.0</v>
      </c>
      <c r="F149" s="59" t="s">
        <v>238</v>
      </c>
      <c r="G149" s="29" t="s">
        <v>239</v>
      </c>
      <c r="H149" s="47"/>
      <c r="I149" s="84"/>
      <c r="J149" s="59">
        <v>262.0</v>
      </c>
      <c r="K149" s="29">
        <v>67551.0</v>
      </c>
      <c r="L149" s="6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6"/>
      <c r="C150" s="17"/>
      <c r="D150" s="18"/>
      <c r="E150" s="55"/>
      <c r="F150" s="35" t="s">
        <v>116</v>
      </c>
      <c r="G150" s="13" t="s">
        <v>239</v>
      </c>
      <c r="H150" s="17"/>
      <c r="I150" s="49"/>
      <c r="J150" s="16"/>
      <c r="K150" s="17"/>
      <c r="L150" s="3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6"/>
      <c r="C151" s="17"/>
      <c r="D151" s="17"/>
      <c r="E151" s="49"/>
      <c r="F151" s="16"/>
      <c r="G151" s="17"/>
      <c r="H151" s="17"/>
      <c r="I151" s="17"/>
      <c r="J151" s="17"/>
      <c r="K151" s="64"/>
      <c r="L151" s="5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25"/>
      <c r="C152" s="18"/>
      <c r="D152" s="13" t="s">
        <v>19</v>
      </c>
      <c r="E152" s="53">
        <v>2.0</v>
      </c>
      <c r="F152" s="35" t="s">
        <v>240</v>
      </c>
      <c r="G152" s="13" t="s">
        <v>241</v>
      </c>
      <c r="H152" s="13" t="s">
        <v>22</v>
      </c>
      <c r="I152" s="13" t="s">
        <v>242</v>
      </c>
      <c r="J152" s="13">
        <v>221.0</v>
      </c>
      <c r="K152" s="13" t="s">
        <v>62</v>
      </c>
      <c r="L152" s="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6"/>
      <c r="C153" s="17"/>
      <c r="D153" s="17"/>
      <c r="E153" s="49"/>
      <c r="F153" s="16"/>
      <c r="G153" s="17"/>
      <c r="H153" s="17"/>
      <c r="I153" s="17"/>
      <c r="J153" s="17"/>
      <c r="K153" s="64"/>
      <c r="L153" s="5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25"/>
      <c r="C154" s="44"/>
      <c r="D154" s="13" t="s">
        <v>19</v>
      </c>
      <c r="E154" s="53">
        <v>3.0</v>
      </c>
      <c r="F154" s="35" t="s">
        <v>243</v>
      </c>
      <c r="G154" s="13" t="s">
        <v>244</v>
      </c>
      <c r="H154" s="13" t="s">
        <v>47</v>
      </c>
      <c r="I154" s="13" t="s">
        <v>245</v>
      </c>
      <c r="J154" s="17"/>
      <c r="K154" s="64"/>
      <c r="L154" s="5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6"/>
      <c r="C155" s="17"/>
      <c r="D155" s="18"/>
      <c r="E155" s="55"/>
      <c r="F155" s="35" t="s">
        <v>246</v>
      </c>
      <c r="G155" s="13" t="s">
        <v>244</v>
      </c>
      <c r="H155" s="17"/>
      <c r="I155" s="17"/>
      <c r="J155" s="17"/>
      <c r="K155" s="64"/>
      <c r="L155" s="5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6"/>
      <c r="C156" s="17"/>
      <c r="D156" s="17"/>
      <c r="E156" s="49"/>
      <c r="F156" s="16"/>
      <c r="G156" s="17"/>
      <c r="H156" s="17"/>
      <c r="I156" s="17"/>
      <c r="J156" s="17"/>
      <c r="K156" s="64"/>
      <c r="L156" s="5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81">
        <v>27.0</v>
      </c>
      <c r="C157" s="85">
        <v>3.0</v>
      </c>
      <c r="D157" s="13">
        <v>1.0</v>
      </c>
      <c r="E157" s="53">
        <v>101.0</v>
      </c>
      <c r="F157" s="35" t="s">
        <v>105</v>
      </c>
      <c r="G157" s="13" t="s">
        <v>37</v>
      </c>
      <c r="H157" s="13" t="s">
        <v>22</v>
      </c>
      <c r="I157" s="13" t="s">
        <v>247</v>
      </c>
      <c r="J157" s="17"/>
      <c r="K157" s="17"/>
      <c r="L157" s="3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81"/>
      <c r="C158" s="82"/>
      <c r="D158" s="13"/>
      <c r="E158" s="53"/>
      <c r="F158" s="35" t="s">
        <v>105</v>
      </c>
      <c r="G158" s="13" t="s">
        <v>37</v>
      </c>
      <c r="H158" s="13" t="s">
        <v>22</v>
      </c>
      <c r="I158" s="13" t="s">
        <v>248</v>
      </c>
      <c r="J158" s="13">
        <v>307.0</v>
      </c>
      <c r="K158" s="37">
        <v>9.0</v>
      </c>
      <c r="L158" s="27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81"/>
      <c r="C159" s="82"/>
      <c r="D159" s="13"/>
      <c r="E159" s="53"/>
      <c r="F159" s="35" t="s">
        <v>105</v>
      </c>
      <c r="G159" s="13" t="s">
        <v>37</v>
      </c>
      <c r="H159" s="13" t="s">
        <v>22</v>
      </c>
      <c r="I159" s="13" t="s">
        <v>249</v>
      </c>
      <c r="J159" s="13">
        <v>308.0</v>
      </c>
      <c r="K159" s="67"/>
      <c r="L159" s="27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6"/>
      <c r="C160" s="17"/>
      <c r="D160" s="18"/>
      <c r="E160" s="55"/>
      <c r="F160" s="35" t="s">
        <v>250</v>
      </c>
      <c r="G160" s="13" t="s">
        <v>45</v>
      </c>
      <c r="H160" s="13" t="s">
        <v>22</v>
      </c>
      <c r="I160" s="13" t="s">
        <v>251</v>
      </c>
      <c r="J160" s="13">
        <v>306.0</v>
      </c>
      <c r="K160" s="19"/>
      <c r="L160" s="27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6"/>
      <c r="C161" s="17"/>
      <c r="D161" s="18"/>
      <c r="E161" s="55"/>
      <c r="F161" s="35" t="s">
        <v>252</v>
      </c>
      <c r="G161" s="13" t="s">
        <v>253</v>
      </c>
      <c r="H161" s="13" t="s">
        <v>22</v>
      </c>
      <c r="I161" s="13" t="s">
        <v>254</v>
      </c>
      <c r="J161" s="17"/>
      <c r="K161" s="17"/>
      <c r="L161" s="3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6"/>
      <c r="C162" s="17"/>
      <c r="D162" s="17"/>
      <c r="E162" s="49"/>
      <c r="F162" s="16"/>
      <c r="G162" s="17"/>
      <c r="H162" s="17"/>
      <c r="I162" s="17"/>
      <c r="J162" s="17"/>
      <c r="K162" s="17"/>
      <c r="L162" s="3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25"/>
      <c r="C163" s="18"/>
      <c r="D163" s="13">
        <v>1.0</v>
      </c>
      <c r="E163" s="83">
        <v>102.0</v>
      </c>
      <c r="F163" s="35" t="s">
        <v>255</v>
      </c>
      <c r="G163" s="13" t="s">
        <v>256</v>
      </c>
      <c r="H163" s="17"/>
      <c r="I163" s="17"/>
      <c r="J163" s="13">
        <v>388.0</v>
      </c>
      <c r="K163" s="13" t="s">
        <v>257</v>
      </c>
      <c r="L163" s="3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6"/>
      <c r="C164" s="17"/>
      <c r="D164" s="17"/>
      <c r="E164" s="49"/>
      <c r="F164" s="16"/>
      <c r="G164" s="17"/>
      <c r="H164" s="17"/>
      <c r="I164" s="17"/>
      <c r="J164" s="17"/>
      <c r="K164" s="17"/>
      <c r="L164" s="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25"/>
      <c r="C165" s="18"/>
      <c r="D165" s="13">
        <v>1.0</v>
      </c>
      <c r="E165" s="53">
        <v>103.0</v>
      </c>
      <c r="F165" s="35" t="s">
        <v>258</v>
      </c>
      <c r="G165" s="13" t="s">
        <v>259</v>
      </c>
      <c r="H165" s="13" t="s">
        <v>260</v>
      </c>
      <c r="I165" s="13" t="s">
        <v>261</v>
      </c>
      <c r="J165" s="17"/>
      <c r="K165" s="17"/>
      <c r="L165" s="3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25"/>
      <c r="C166" s="18"/>
      <c r="D166" s="13"/>
      <c r="E166" s="53"/>
      <c r="F166" s="35" t="s">
        <v>258</v>
      </c>
      <c r="G166" s="13" t="s">
        <v>259</v>
      </c>
      <c r="H166" s="13" t="s">
        <v>22</v>
      </c>
      <c r="I166" s="13" t="s">
        <v>262</v>
      </c>
      <c r="J166" s="17"/>
      <c r="K166" s="17"/>
      <c r="L166" s="3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6"/>
      <c r="C167" s="17"/>
      <c r="D167" s="18"/>
      <c r="E167" s="55"/>
      <c r="F167" s="35" t="s">
        <v>263</v>
      </c>
      <c r="G167" s="13" t="s">
        <v>136</v>
      </c>
      <c r="H167" s="18"/>
      <c r="I167" s="18"/>
      <c r="J167" s="13" t="s">
        <v>264</v>
      </c>
      <c r="K167" s="42" t="s">
        <v>62</v>
      </c>
      <c r="L167" s="43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6"/>
      <c r="C168" s="17"/>
      <c r="D168" s="18"/>
      <c r="E168" s="55"/>
      <c r="F168" s="35" t="s">
        <v>265</v>
      </c>
      <c r="G168" s="13" t="s">
        <v>259</v>
      </c>
      <c r="H168" s="18"/>
      <c r="I168" s="18"/>
      <c r="J168" s="13">
        <v>225.0</v>
      </c>
      <c r="K168" s="42" t="s">
        <v>62</v>
      </c>
      <c r="L168" s="43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6"/>
      <c r="C169" s="17"/>
      <c r="D169" s="18"/>
      <c r="E169" s="55"/>
      <c r="F169" s="35" t="s">
        <v>266</v>
      </c>
      <c r="G169" s="13" t="s">
        <v>267</v>
      </c>
      <c r="H169" s="18"/>
      <c r="I169" s="18"/>
      <c r="J169" s="13">
        <v>237.0</v>
      </c>
      <c r="K169" s="86" t="s">
        <v>62</v>
      </c>
      <c r="L169" s="43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6"/>
      <c r="C170" s="17"/>
      <c r="D170" s="17"/>
      <c r="E170" s="49"/>
      <c r="F170" s="16"/>
      <c r="G170" s="17"/>
      <c r="H170" s="17"/>
      <c r="I170" s="17"/>
      <c r="J170" s="17"/>
      <c r="K170" s="17"/>
      <c r="L170" s="3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81">
        <v>27.0</v>
      </c>
      <c r="C171" s="82">
        <v>3.0</v>
      </c>
      <c r="D171" s="13">
        <v>2.0</v>
      </c>
      <c r="E171" s="53">
        <v>201.0</v>
      </c>
      <c r="F171" s="35" t="s">
        <v>268</v>
      </c>
      <c r="G171" s="13" t="s">
        <v>216</v>
      </c>
      <c r="H171" s="13" t="s">
        <v>22</v>
      </c>
      <c r="I171" s="13" t="s">
        <v>269</v>
      </c>
      <c r="J171" s="17"/>
      <c r="K171" s="17"/>
      <c r="L171" s="3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6"/>
      <c r="C172" s="17"/>
      <c r="D172" s="18"/>
      <c r="E172" s="55"/>
      <c r="F172" s="35" t="s">
        <v>270</v>
      </c>
      <c r="G172" s="13" t="s">
        <v>216</v>
      </c>
      <c r="H172" s="13" t="s">
        <v>22</v>
      </c>
      <c r="I172" s="13" t="s">
        <v>271</v>
      </c>
      <c r="J172" s="17"/>
      <c r="K172" s="17"/>
      <c r="L172" s="3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6"/>
      <c r="C173" s="17"/>
      <c r="D173" s="17"/>
      <c r="E173" s="49"/>
      <c r="F173" s="16"/>
      <c r="G173" s="17"/>
      <c r="H173" s="17"/>
      <c r="I173" s="17"/>
      <c r="J173" s="17"/>
      <c r="K173" s="17"/>
      <c r="L173" s="3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25"/>
      <c r="C174" s="18"/>
      <c r="D174" s="13">
        <v>2.0</v>
      </c>
      <c r="E174" s="83">
        <v>202.0</v>
      </c>
      <c r="F174" s="35" t="s">
        <v>272</v>
      </c>
      <c r="G174" s="13" t="s">
        <v>273</v>
      </c>
      <c r="H174" s="13" t="s">
        <v>22</v>
      </c>
      <c r="I174" s="13" t="s">
        <v>274</v>
      </c>
      <c r="J174" s="17"/>
      <c r="K174" s="17"/>
      <c r="L174" s="3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6"/>
      <c r="C175" s="17"/>
      <c r="D175" s="18"/>
      <c r="E175" s="55"/>
      <c r="F175" s="35" t="s">
        <v>275</v>
      </c>
      <c r="G175" s="13" t="s">
        <v>273</v>
      </c>
      <c r="H175" s="17"/>
      <c r="I175" s="17"/>
      <c r="J175" s="17"/>
      <c r="K175" s="17"/>
      <c r="L175" s="3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6"/>
      <c r="C176" s="17"/>
      <c r="D176" s="17"/>
      <c r="E176" s="49"/>
      <c r="F176" s="87" t="s">
        <v>276</v>
      </c>
      <c r="G176" s="52"/>
      <c r="H176" s="52"/>
      <c r="I176" s="17"/>
      <c r="J176" s="13">
        <v>211.0</v>
      </c>
      <c r="K176" s="26">
        <v>3.0</v>
      </c>
      <c r="L176" s="27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25"/>
      <c r="C177" s="18"/>
      <c r="D177" s="13">
        <v>2.0</v>
      </c>
      <c r="E177" s="83">
        <v>203.0</v>
      </c>
      <c r="F177" s="59" t="s">
        <v>277</v>
      </c>
      <c r="G177" s="29" t="s">
        <v>278</v>
      </c>
      <c r="H177" s="29" t="s">
        <v>22</v>
      </c>
      <c r="I177" s="13" t="s">
        <v>279</v>
      </c>
      <c r="J177" s="13">
        <v>372.0</v>
      </c>
      <c r="K177" s="26">
        <v>3.0</v>
      </c>
      <c r="L177" s="27"/>
      <c r="M177" s="2" t="s">
        <v>280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6"/>
      <c r="C178" s="17"/>
      <c r="D178" s="18"/>
      <c r="E178" s="55"/>
      <c r="F178" s="35" t="s">
        <v>281</v>
      </c>
      <c r="G178" s="13" t="s">
        <v>282</v>
      </c>
      <c r="H178" s="17"/>
      <c r="I178" s="17"/>
      <c r="J178" s="17"/>
      <c r="K178" s="64"/>
      <c r="L178" s="5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6"/>
      <c r="C179" s="17"/>
      <c r="D179" s="18"/>
      <c r="E179" s="55"/>
      <c r="F179" s="35" t="s">
        <v>63</v>
      </c>
      <c r="G179" s="13" t="s">
        <v>278</v>
      </c>
      <c r="H179" s="17"/>
      <c r="I179" s="17"/>
      <c r="J179" s="17"/>
      <c r="K179" s="64"/>
      <c r="L179" s="5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6"/>
      <c r="C180" s="17"/>
      <c r="D180" s="17"/>
      <c r="E180" s="49"/>
      <c r="F180" s="79"/>
      <c r="G180" s="52"/>
      <c r="H180" s="52"/>
      <c r="I180" s="17"/>
      <c r="J180" s="17"/>
      <c r="K180" s="64"/>
      <c r="L180" s="5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81">
        <v>27.0</v>
      </c>
      <c r="C181" s="82">
        <v>3.0</v>
      </c>
      <c r="D181" s="13">
        <v>3.0</v>
      </c>
      <c r="E181" s="53">
        <v>301.0</v>
      </c>
      <c r="F181" s="59" t="s">
        <v>83</v>
      </c>
      <c r="G181" s="29" t="s">
        <v>259</v>
      </c>
      <c r="H181" s="47"/>
      <c r="I181" s="64"/>
      <c r="J181" s="13" t="s">
        <v>283</v>
      </c>
      <c r="K181" s="88">
        <v>6.0</v>
      </c>
      <c r="L181" s="89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6"/>
      <c r="C182" s="17"/>
      <c r="D182" s="18"/>
      <c r="E182" s="55"/>
      <c r="F182" s="35" t="s">
        <v>284</v>
      </c>
      <c r="G182" s="13" t="s">
        <v>259</v>
      </c>
      <c r="H182" s="17"/>
      <c r="I182" s="64"/>
      <c r="J182" s="17"/>
      <c r="K182" s="64"/>
      <c r="L182" s="5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6"/>
      <c r="C183" s="17"/>
      <c r="D183" s="18"/>
      <c r="E183" s="55"/>
      <c r="F183" s="35" t="s">
        <v>117</v>
      </c>
      <c r="G183" s="13" t="s">
        <v>285</v>
      </c>
      <c r="H183" s="17"/>
      <c r="I183" s="64"/>
      <c r="J183" s="17"/>
      <c r="K183" s="64"/>
      <c r="L183" s="5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6"/>
      <c r="C184" s="17"/>
      <c r="D184" s="18"/>
      <c r="E184" s="55"/>
      <c r="F184" s="35" t="s">
        <v>286</v>
      </c>
      <c r="G184" s="13" t="s">
        <v>259</v>
      </c>
      <c r="H184" s="64"/>
      <c r="I184" s="64"/>
      <c r="J184" s="17"/>
      <c r="K184" s="64"/>
      <c r="L184" s="5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6"/>
      <c r="C185" s="17"/>
      <c r="D185" s="17"/>
      <c r="E185" s="49"/>
      <c r="F185" s="79"/>
      <c r="G185" s="52"/>
      <c r="H185" s="52"/>
      <c r="I185" s="52"/>
      <c r="J185" s="17"/>
      <c r="K185" s="17"/>
      <c r="L185" s="3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25"/>
      <c r="C186" s="18"/>
      <c r="D186" s="13">
        <v>3.0</v>
      </c>
      <c r="E186" s="83">
        <v>302.0</v>
      </c>
      <c r="F186" s="59" t="s">
        <v>287</v>
      </c>
      <c r="G186" s="29" t="s">
        <v>288</v>
      </c>
      <c r="H186" s="47"/>
      <c r="I186" s="47"/>
      <c r="J186" s="17"/>
      <c r="K186" s="17"/>
      <c r="L186" s="3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6"/>
      <c r="C187" s="17"/>
      <c r="D187" s="18"/>
      <c r="E187" s="55"/>
      <c r="F187" s="35" t="s">
        <v>289</v>
      </c>
      <c r="G187" s="13" t="s">
        <v>288</v>
      </c>
      <c r="H187" s="17"/>
      <c r="I187" s="17"/>
      <c r="J187" s="17"/>
      <c r="K187" s="17"/>
      <c r="L187" s="3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6"/>
      <c r="C188" s="17"/>
      <c r="D188" s="17"/>
      <c r="E188" s="49"/>
      <c r="F188" s="16"/>
      <c r="G188" s="17"/>
      <c r="H188" s="17"/>
      <c r="I188" s="17"/>
      <c r="J188" s="17"/>
      <c r="K188" s="17"/>
      <c r="L188" s="3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25"/>
      <c r="C189" s="18"/>
      <c r="D189" s="13">
        <v>3.0</v>
      </c>
      <c r="E189" s="53">
        <v>303.0</v>
      </c>
      <c r="F189" s="35" t="s">
        <v>290</v>
      </c>
      <c r="G189" s="13" t="s">
        <v>170</v>
      </c>
      <c r="H189" s="13" t="s">
        <v>22</v>
      </c>
      <c r="I189" s="13" t="s">
        <v>291</v>
      </c>
      <c r="J189" s="17"/>
      <c r="K189" s="17"/>
      <c r="L189" s="3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6"/>
      <c r="C190" s="17"/>
      <c r="D190" s="18"/>
      <c r="E190" s="55"/>
      <c r="F190" s="35" t="s">
        <v>292</v>
      </c>
      <c r="G190" s="13" t="s">
        <v>293</v>
      </c>
      <c r="H190" s="13" t="str">
        <f t="array" ref="H190">IFNA(VLOOKUP(I190,{'Lista de receptores'!B$5:B1206,'Lista de receptores'!E$5:E1206},2,FALSE),"")</f>
        <v>BLOQUEADO</v>
      </c>
      <c r="I190" s="13" t="s">
        <v>294</v>
      </c>
      <c r="J190" s="13" t="s">
        <v>295</v>
      </c>
      <c r="K190" s="13" t="s">
        <v>296</v>
      </c>
      <c r="L190" s="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6"/>
      <c r="C191" s="17"/>
      <c r="D191" s="18"/>
      <c r="E191" s="55"/>
      <c r="F191" s="35" t="s">
        <v>281</v>
      </c>
      <c r="G191" s="13" t="s">
        <v>293</v>
      </c>
      <c r="H191" s="13" t="str">
        <f t="array" ref="H191">IFNA(VLOOKUP(I191,{'Lista de receptores'!B$5:B1206,'Lista de receptores'!E$5:E1206},2,FALSE),"")</f>
        <v>BLOQUEADO</v>
      </c>
      <c r="I191" s="13" t="s">
        <v>297</v>
      </c>
      <c r="J191" s="17"/>
      <c r="K191" s="17"/>
      <c r="L191" s="3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6"/>
      <c r="C192" s="17"/>
      <c r="D192" s="18"/>
      <c r="E192" s="55"/>
      <c r="F192" s="35" t="s">
        <v>298</v>
      </c>
      <c r="G192" s="13" t="s">
        <v>293</v>
      </c>
      <c r="H192" s="13" t="str">
        <f t="array" ref="H192">IFNA(VLOOKUP(I192,{'Lista de receptores'!B$5:B1206,'Lista de receptores'!E$5:E1206},2,FALSE),"")</f>
        <v/>
      </c>
      <c r="I192" s="17"/>
      <c r="J192" s="13">
        <v>189.0</v>
      </c>
      <c r="K192" s="13" t="s">
        <v>299</v>
      </c>
      <c r="L192" s="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6"/>
      <c r="C193" s="17"/>
      <c r="D193" s="18"/>
      <c r="E193" s="55"/>
      <c r="F193" s="35" t="s">
        <v>300</v>
      </c>
      <c r="G193" s="13" t="s">
        <v>293</v>
      </c>
      <c r="H193" s="13" t="str">
        <f t="array" ref="H193">IFNA(VLOOKUP(I193,{'Lista de receptores'!B$5:B1206,'Lista de receptores'!E$5:E1206},2,FALSE),"")</f>
        <v/>
      </c>
      <c r="I193" s="64"/>
      <c r="J193" s="17"/>
      <c r="K193" s="17"/>
      <c r="L193" s="3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6"/>
      <c r="C194" s="17"/>
      <c r="D194" s="18"/>
      <c r="E194" s="55"/>
      <c r="F194" s="59" t="s">
        <v>301</v>
      </c>
      <c r="G194" s="59" t="s">
        <v>293</v>
      </c>
      <c r="H194" s="13" t="str">
        <f t="array" ref="H194">IFNA(VLOOKUP(I194,{'Lista de receptores'!B$5:B1206,'Lista de receptores'!E$5:E1206},2,FALSE),"")</f>
        <v/>
      </c>
      <c r="I194" s="90"/>
      <c r="J194" s="13">
        <v>34.0</v>
      </c>
      <c r="K194" s="91">
        <v>3.0</v>
      </c>
      <c r="L194" s="73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6"/>
      <c r="C195" s="17"/>
      <c r="D195" s="18"/>
      <c r="E195" s="55"/>
      <c r="F195" s="59"/>
      <c r="G195" s="59"/>
      <c r="H195" s="92"/>
      <c r="I195" s="90"/>
      <c r="J195" s="13"/>
      <c r="K195" s="93"/>
      <c r="L195" s="94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81">
        <v>27.0</v>
      </c>
      <c r="C196" s="82">
        <v>3.0</v>
      </c>
      <c r="D196" s="13">
        <v>4.0</v>
      </c>
      <c r="E196" s="53">
        <v>401.0</v>
      </c>
      <c r="F196" s="59" t="s">
        <v>93</v>
      </c>
      <c r="G196" s="29" t="s">
        <v>302</v>
      </c>
      <c r="H196" s="47"/>
      <c r="I196" s="47"/>
      <c r="J196" s="17"/>
      <c r="K196" s="17"/>
      <c r="L196" s="3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6"/>
      <c r="C197" s="17"/>
      <c r="D197" s="18"/>
      <c r="E197" s="55"/>
      <c r="F197" s="35" t="s">
        <v>303</v>
      </c>
      <c r="G197" s="13" t="s">
        <v>304</v>
      </c>
      <c r="H197" s="17"/>
      <c r="I197" s="17"/>
      <c r="J197" s="17"/>
      <c r="K197" s="17"/>
      <c r="L197" s="3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6"/>
      <c r="C198" s="17"/>
      <c r="D198" s="18"/>
      <c r="E198" s="55"/>
      <c r="F198" s="35" t="s">
        <v>305</v>
      </c>
      <c r="G198" s="13" t="s">
        <v>302</v>
      </c>
      <c r="H198" s="64"/>
      <c r="I198" s="64"/>
      <c r="J198" s="17"/>
      <c r="K198" s="17"/>
      <c r="L198" s="3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6"/>
      <c r="C199" s="17"/>
      <c r="D199" s="17"/>
      <c r="E199" s="17"/>
      <c r="F199" s="59" t="s">
        <v>306</v>
      </c>
      <c r="G199" s="59" t="s">
        <v>307</v>
      </c>
      <c r="H199" s="17"/>
      <c r="I199" s="17"/>
      <c r="J199" s="13">
        <v>212.0</v>
      </c>
      <c r="K199" s="13">
        <v>73754.0</v>
      </c>
      <c r="L199" s="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6"/>
      <c r="C200" s="17"/>
      <c r="D200" s="17"/>
      <c r="E200" s="49"/>
      <c r="F200" s="69"/>
      <c r="G200" s="69"/>
      <c r="H200" s="17"/>
      <c r="I200" s="17"/>
      <c r="J200" s="17"/>
      <c r="K200" s="17"/>
      <c r="L200" s="3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25"/>
      <c r="C201" s="18"/>
      <c r="D201" s="13">
        <v>4.0</v>
      </c>
      <c r="E201" s="53">
        <v>402.0</v>
      </c>
      <c r="F201" s="35" t="s">
        <v>308</v>
      </c>
      <c r="G201" s="13" t="s">
        <v>309</v>
      </c>
      <c r="H201" s="13" t="s">
        <v>22</v>
      </c>
      <c r="I201" s="13" t="s">
        <v>310</v>
      </c>
      <c r="J201" s="13">
        <v>148.0</v>
      </c>
      <c r="K201" s="56">
        <v>27906.0</v>
      </c>
      <c r="L201" s="57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6"/>
      <c r="C202" s="17"/>
      <c r="D202" s="52"/>
      <c r="E202" s="3"/>
      <c r="F202" s="35" t="s">
        <v>311</v>
      </c>
      <c r="G202" s="13" t="s">
        <v>273</v>
      </c>
      <c r="H202" s="17"/>
      <c r="I202" s="17"/>
      <c r="J202" s="13">
        <v>149.0</v>
      </c>
      <c r="K202" s="67"/>
      <c r="L202" s="57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25"/>
      <c r="C203" s="55"/>
      <c r="D203" s="95"/>
      <c r="E203" s="95"/>
      <c r="F203" s="13" t="s">
        <v>312</v>
      </c>
      <c r="G203" s="13" t="s">
        <v>313</v>
      </c>
      <c r="H203" s="17"/>
      <c r="I203" s="17"/>
      <c r="J203" s="13">
        <v>147.0</v>
      </c>
      <c r="K203" s="19"/>
      <c r="L203" s="57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25"/>
      <c r="C204" s="55"/>
      <c r="D204" s="95"/>
      <c r="E204" s="95"/>
      <c r="F204" s="13" t="s">
        <v>314</v>
      </c>
      <c r="G204" s="13" t="s">
        <v>315</v>
      </c>
      <c r="H204" s="17"/>
      <c r="I204" s="17"/>
      <c r="J204" s="17"/>
      <c r="K204" s="17"/>
      <c r="L204" s="3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25"/>
      <c r="C205" s="55"/>
      <c r="D205" s="95"/>
      <c r="E205" s="95"/>
      <c r="F205" s="13"/>
      <c r="G205" s="13"/>
      <c r="H205" s="17"/>
      <c r="I205" s="17"/>
      <c r="J205" s="17"/>
      <c r="K205" s="17"/>
      <c r="L205" s="3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6"/>
      <c r="C206" s="17"/>
      <c r="D206" s="13">
        <v>4.0</v>
      </c>
      <c r="E206" s="83">
        <v>403.0</v>
      </c>
      <c r="F206" s="96" t="s">
        <v>316</v>
      </c>
      <c r="G206" s="97" t="s">
        <v>317</v>
      </c>
      <c r="H206" s="17"/>
      <c r="I206" s="17"/>
      <c r="J206" s="17"/>
      <c r="K206" s="17"/>
      <c r="L206" s="3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6"/>
      <c r="C207" s="17"/>
      <c r="D207" s="18"/>
      <c r="E207" s="55"/>
      <c r="F207" s="95"/>
      <c r="G207" s="95"/>
      <c r="H207" s="17"/>
      <c r="I207" s="17"/>
      <c r="J207" s="17"/>
      <c r="K207" s="17"/>
      <c r="L207" s="3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6"/>
      <c r="C208" s="17"/>
      <c r="D208" s="17"/>
      <c r="E208" s="49"/>
      <c r="F208" s="95"/>
      <c r="G208" s="95"/>
      <c r="H208" s="17"/>
      <c r="I208" s="17"/>
      <c r="J208" s="17"/>
      <c r="K208" s="17"/>
      <c r="L208" s="3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38">
        <v>27.0</v>
      </c>
      <c r="C209" s="39">
        <v>4.0</v>
      </c>
      <c r="D209" s="13" t="s">
        <v>19</v>
      </c>
      <c r="E209" s="13">
        <v>1.0</v>
      </c>
      <c r="F209" s="13" t="s">
        <v>318</v>
      </c>
      <c r="G209" s="13" t="s">
        <v>319</v>
      </c>
      <c r="H209" s="17"/>
      <c r="I209" s="17"/>
      <c r="J209" s="17"/>
      <c r="K209" s="17"/>
      <c r="L209" s="3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98"/>
      <c r="C210" s="99"/>
      <c r="D210" s="18"/>
      <c r="E210" s="18"/>
      <c r="F210" s="13" t="s">
        <v>314</v>
      </c>
      <c r="G210" s="13" t="s">
        <v>320</v>
      </c>
      <c r="H210" s="17"/>
      <c r="I210" s="17"/>
      <c r="J210" s="17"/>
      <c r="K210" s="17"/>
      <c r="L210" s="3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98"/>
      <c r="C211" s="99"/>
      <c r="D211" s="18"/>
      <c r="E211" s="18"/>
      <c r="F211" s="13" t="s">
        <v>321</v>
      </c>
      <c r="G211" s="13" t="s">
        <v>320</v>
      </c>
      <c r="H211" s="18"/>
      <c r="I211" s="74"/>
      <c r="J211" s="13">
        <v>86.0</v>
      </c>
      <c r="K211" s="91">
        <v>3.0</v>
      </c>
      <c r="L211" s="73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98"/>
      <c r="C212" s="99"/>
      <c r="D212" s="17"/>
      <c r="E212" s="17"/>
      <c r="F212" s="17"/>
      <c r="G212" s="17"/>
      <c r="H212" s="17"/>
      <c r="I212" s="17"/>
      <c r="J212" s="17"/>
      <c r="K212" s="17"/>
      <c r="L212" s="3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00"/>
      <c r="C213" s="101"/>
      <c r="D213" s="13" t="s">
        <v>19</v>
      </c>
      <c r="E213" s="13">
        <v>2.0</v>
      </c>
      <c r="F213" s="13" t="s">
        <v>322</v>
      </c>
      <c r="G213" s="13" t="s">
        <v>323</v>
      </c>
      <c r="H213" s="13" t="s">
        <v>22</v>
      </c>
      <c r="I213" s="13" t="s">
        <v>324</v>
      </c>
      <c r="J213" s="17"/>
      <c r="K213" s="17"/>
      <c r="L213" s="3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98"/>
      <c r="C214" s="99"/>
      <c r="D214" s="17"/>
      <c r="E214" s="17"/>
      <c r="F214" s="13" t="s">
        <v>325</v>
      </c>
      <c r="G214" s="13" t="s">
        <v>326</v>
      </c>
      <c r="H214" s="13" t="s">
        <v>22</v>
      </c>
      <c r="I214" s="13" t="s">
        <v>327</v>
      </c>
      <c r="J214" s="17"/>
      <c r="K214" s="17"/>
      <c r="L214" s="3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98"/>
      <c r="C215" s="99"/>
      <c r="D215" s="17"/>
      <c r="E215" s="17"/>
      <c r="F215" s="17"/>
      <c r="G215" s="17"/>
      <c r="H215" s="17"/>
      <c r="I215" s="17"/>
      <c r="J215" s="17"/>
      <c r="K215" s="17"/>
      <c r="L215" s="3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00"/>
      <c r="C216" s="101"/>
      <c r="D216" s="13" t="s">
        <v>19</v>
      </c>
      <c r="E216" s="13">
        <v>3.0</v>
      </c>
      <c r="F216" s="13" t="s">
        <v>328</v>
      </c>
      <c r="G216" s="13" t="s">
        <v>329</v>
      </c>
      <c r="H216" s="13" t="s">
        <v>330</v>
      </c>
      <c r="I216" s="13" t="s">
        <v>331</v>
      </c>
      <c r="J216" s="17"/>
      <c r="K216" s="17"/>
      <c r="L216" s="3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98"/>
      <c r="C217" s="99"/>
      <c r="D217" s="18"/>
      <c r="E217" s="18"/>
      <c r="F217" s="13" t="s">
        <v>238</v>
      </c>
      <c r="G217" s="13" t="s">
        <v>332</v>
      </c>
      <c r="H217" s="13" t="s">
        <v>333</v>
      </c>
      <c r="I217" s="13" t="s">
        <v>334</v>
      </c>
      <c r="J217" s="17"/>
      <c r="K217" s="17"/>
      <c r="L217" s="3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98"/>
      <c r="C218" s="99"/>
      <c r="D218" s="18"/>
      <c r="E218" s="18"/>
      <c r="F218" s="13" t="s">
        <v>335</v>
      </c>
      <c r="G218" s="13"/>
      <c r="H218" s="13"/>
      <c r="I218" s="13" t="s">
        <v>336</v>
      </c>
      <c r="J218" s="17"/>
      <c r="K218" s="17"/>
      <c r="L218" s="3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98"/>
      <c r="C219" s="99"/>
      <c r="D219" s="17"/>
      <c r="E219" s="17"/>
      <c r="F219" s="17"/>
      <c r="G219" s="17"/>
      <c r="H219" s="17"/>
      <c r="I219" s="17"/>
      <c r="J219" s="17"/>
      <c r="K219" s="17"/>
      <c r="L219" s="3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00"/>
      <c r="C220" s="101"/>
      <c r="D220" s="13" t="s">
        <v>19</v>
      </c>
      <c r="E220" s="13">
        <v>4.0</v>
      </c>
      <c r="F220" s="13" t="s">
        <v>105</v>
      </c>
      <c r="G220" s="13" t="s">
        <v>337</v>
      </c>
      <c r="H220" s="13" t="s">
        <v>47</v>
      </c>
      <c r="I220" s="13" t="s">
        <v>338</v>
      </c>
      <c r="J220" s="13">
        <v>41.0</v>
      </c>
      <c r="K220" s="102" t="s">
        <v>62</v>
      </c>
      <c r="L220" s="43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98"/>
      <c r="C221" s="99"/>
      <c r="D221" s="18"/>
      <c r="E221" s="18"/>
      <c r="F221" s="13" t="s">
        <v>339</v>
      </c>
      <c r="G221" s="13" t="s">
        <v>340</v>
      </c>
      <c r="H221" s="13" t="s">
        <v>47</v>
      </c>
      <c r="I221" s="13" t="s">
        <v>341</v>
      </c>
      <c r="J221" s="13">
        <v>40.0</v>
      </c>
      <c r="K221" s="75"/>
      <c r="L221" s="43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98"/>
      <c r="C222" s="99"/>
      <c r="D222" s="18"/>
      <c r="E222" s="18"/>
      <c r="F222" s="13" t="s">
        <v>339</v>
      </c>
      <c r="G222" s="13" t="s">
        <v>340</v>
      </c>
      <c r="H222" s="13" t="s">
        <v>47</v>
      </c>
      <c r="I222" s="13" t="s">
        <v>342</v>
      </c>
      <c r="J222" s="13"/>
      <c r="K222" s="75"/>
      <c r="L222" s="43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98"/>
      <c r="C223" s="99"/>
      <c r="D223" s="18"/>
      <c r="E223" s="18"/>
      <c r="F223" s="13" t="s">
        <v>343</v>
      </c>
      <c r="G223" s="13" t="s">
        <v>337</v>
      </c>
      <c r="H223" s="13" t="s">
        <v>22</v>
      </c>
      <c r="I223" s="13" t="s">
        <v>344</v>
      </c>
      <c r="J223" s="13">
        <v>324.0</v>
      </c>
      <c r="K223" s="75"/>
      <c r="L223" s="43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98"/>
      <c r="C224" s="99"/>
      <c r="D224" s="17"/>
      <c r="E224" s="17"/>
      <c r="F224" s="17"/>
      <c r="G224" s="17"/>
      <c r="H224" s="17"/>
      <c r="I224" s="17"/>
      <c r="J224" s="17"/>
      <c r="K224" s="17"/>
      <c r="L224" s="3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00"/>
      <c r="C225" s="101"/>
      <c r="D225" s="13" t="s">
        <v>19</v>
      </c>
      <c r="E225" s="13">
        <v>5.0</v>
      </c>
      <c r="F225" s="13" t="s">
        <v>345</v>
      </c>
      <c r="G225" s="13" t="s">
        <v>346</v>
      </c>
      <c r="H225" s="17"/>
      <c r="I225" s="17"/>
      <c r="J225" s="17"/>
      <c r="K225" s="17"/>
      <c r="L225" s="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98"/>
      <c r="C226" s="99"/>
      <c r="D226" s="18"/>
      <c r="E226" s="18"/>
      <c r="F226" s="13" t="s">
        <v>347</v>
      </c>
      <c r="G226" s="13" t="s">
        <v>348</v>
      </c>
      <c r="H226" s="13" t="s">
        <v>22</v>
      </c>
      <c r="I226" s="13" t="s">
        <v>349</v>
      </c>
      <c r="J226" s="17"/>
      <c r="K226" s="17"/>
      <c r="L226" s="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98"/>
      <c r="C227" s="99"/>
      <c r="D227" s="18"/>
      <c r="E227" s="18"/>
      <c r="F227" s="13" t="s">
        <v>350</v>
      </c>
      <c r="G227" s="13" t="s">
        <v>351</v>
      </c>
      <c r="H227" s="17"/>
      <c r="I227" s="17"/>
      <c r="J227" s="17"/>
      <c r="K227" s="17"/>
      <c r="L227" s="3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98"/>
      <c r="C228" s="99"/>
      <c r="D228" s="17"/>
      <c r="E228" s="17"/>
      <c r="F228" s="17"/>
      <c r="G228" s="17"/>
      <c r="H228" s="17"/>
      <c r="I228" s="17"/>
      <c r="J228" s="17"/>
      <c r="K228" s="17"/>
      <c r="L228" s="3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38">
        <v>27.0</v>
      </c>
      <c r="C229" s="39">
        <v>4.0</v>
      </c>
      <c r="D229" s="13">
        <v>1.0</v>
      </c>
      <c r="E229" s="13">
        <v>101.0</v>
      </c>
      <c r="F229" s="13" t="s">
        <v>352</v>
      </c>
      <c r="G229" s="13" t="s">
        <v>353</v>
      </c>
      <c r="H229" s="17"/>
      <c r="I229" s="17"/>
      <c r="J229" s="13" t="s">
        <v>354</v>
      </c>
      <c r="K229" s="13">
        <v>4642.0</v>
      </c>
      <c r="L229" s="6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98"/>
      <c r="C230" s="103"/>
      <c r="D230" s="18"/>
      <c r="E230" s="18"/>
      <c r="F230" s="13" t="s">
        <v>205</v>
      </c>
      <c r="G230" s="13" t="s">
        <v>355</v>
      </c>
      <c r="H230" s="13" t="s">
        <v>47</v>
      </c>
      <c r="I230" s="13" t="s">
        <v>356</v>
      </c>
      <c r="J230" s="17"/>
      <c r="K230" s="17"/>
      <c r="L230" s="3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98"/>
      <c r="C231" s="99"/>
      <c r="D231" s="18"/>
      <c r="E231" s="18"/>
      <c r="F231" s="13" t="s">
        <v>205</v>
      </c>
      <c r="G231" s="13" t="s">
        <v>355</v>
      </c>
      <c r="H231" s="13" t="s">
        <v>87</v>
      </c>
      <c r="I231" s="13" t="s">
        <v>357</v>
      </c>
      <c r="J231" s="17"/>
      <c r="K231" s="17"/>
      <c r="L231" s="3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98"/>
      <c r="C232" s="99"/>
      <c r="D232" s="18"/>
      <c r="E232" s="18"/>
      <c r="F232" s="13" t="s">
        <v>358</v>
      </c>
      <c r="G232" s="13" t="s">
        <v>359</v>
      </c>
      <c r="H232" s="17"/>
      <c r="I232" s="17"/>
      <c r="J232" s="17"/>
      <c r="K232" s="17"/>
      <c r="L232" s="3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98"/>
      <c r="C233" s="99"/>
      <c r="D233" s="17"/>
      <c r="E233" s="17"/>
      <c r="F233" s="17"/>
      <c r="G233" s="17"/>
      <c r="H233" s="17"/>
      <c r="I233" s="17"/>
      <c r="J233" s="17"/>
      <c r="K233" s="17"/>
      <c r="L233" s="3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00"/>
      <c r="C234" s="101"/>
      <c r="D234" s="13">
        <v>1.0</v>
      </c>
      <c r="E234" s="13">
        <v>102.0</v>
      </c>
      <c r="F234" s="13" t="s">
        <v>352</v>
      </c>
      <c r="G234" s="13" t="s">
        <v>355</v>
      </c>
      <c r="H234" s="17"/>
      <c r="I234" s="17"/>
      <c r="J234" s="17"/>
      <c r="K234" s="17"/>
      <c r="L234" s="3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98"/>
      <c r="C235" s="103"/>
      <c r="D235" s="18"/>
      <c r="E235" s="18"/>
      <c r="F235" s="13" t="s">
        <v>360</v>
      </c>
      <c r="G235" s="13" t="s">
        <v>361</v>
      </c>
      <c r="H235" s="13" t="s">
        <v>47</v>
      </c>
      <c r="I235" s="13" t="s">
        <v>362</v>
      </c>
      <c r="J235" s="17"/>
      <c r="K235" s="17"/>
      <c r="L235" s="3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98"/>
      <c r="C236" s="99"/>
      <c r="D236" s="18"/>
      <c r="E236" s="18"/>
      <c r="F236" s="13" t="s">
        <v>363</v>
      </c>
      <c r="G236" s="13" t="s">
        <v>239</v>
      </c>
      <c r="H236" s="13" t="s">
        <v>47</v>
      </c>
      <c r="I236" s="13" t="s">
        <v>364</v>
      </c>
      <c r="J236" s="17"/>
      <c r="K236" s="17"/>
      <c r="L236" s="3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98"/>
      <c r="C237" s="99"/>
      <c r="D237" s="18"/>
      <c r="E237" s="18"/>
      <c r="F237" s="13" t="s">
        <v>365</v>
      </c>
      <c r="G237" s="13" t="s">
        <v>361</v>
      </c>
      <c r="H237" s="17"/>
      <c r="I237" s="17"/>
      <c r="J237" s="17"/>
      <c r="K237" s="17"/>
      <c r="L237" s="3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98"/>
      <c r="C238" s="99"/>
      <c r="D238" s="17"/>
      <c r="E238" s="17"/>
      <c r="F238" s="17"/>
      <c r="G238" s="17"/>
      <c r="H238" s="17"/>
      <c r="I238" s="17"/>
      <c r="J238" s="17"/>
      <c r="K238" s="17"/>
      <c r="L238" s="3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00"/>
      <c r="C239" s="101"/>
      <c r="D239" s="13">
        <v>1.0</v>
      </c>
      <c r="E239" s="40">
        <v>103.0</v>
      </c>
      <c r="F239" s="13" t="s">
        <v>366</v>
      </c>
      <c r="G239" s="13" t="s">
        <v>244</v>
      </c>
      <c r="H239" s="17"/>
      <c r="I239" s="17"/>
      <c r="J239" s="17"/>
      <c r="K239" s="17"/>
      <c r="L239" s="3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98"/>
      <c r="C240" s="99"/>
      <c r="D240" s="18"/>
      <c r="E240" s="18"/>
      <c r="F240" s="13" t="s">
        <v>105</v>
      </c>
      <c r="G240" s="13" t="s">
        <v>244</v>
      </c>
      <c r="H240" s="17"/>
      <c r="I240" s="17"/>
      <c r="J240" s="17"/>
      <c r="K240" s="17"/>
      <c r="L240" s="3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98"/>
      <c r="C241" s="99"/>
      <c r="D241" s="18"/>
      <c r="E241" s="18"/>
      <c r="F241" s="13" t="s">
        <v>105</v>
      </c>
      <c r="G241" s="13" t="s">
        <v>244</v>
      </c>
      <c r="H241" s="17"/>
      <c r="I241" s="17"/>
      <c r="J241" s="17"/>
      <c r="K241" s="17"/>
      <c r="L241" s="3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98"/>
      <c r="C242" s="99"/>
      <c r="D242" s="18"/>
      <c r="E242" s="18"/>
      <c r="F242" s="13" t="s">
        <v>367</v>
      </c>
      <c r="G242" s="13" t="s">
        <v>244</v>
      </c>
      <c r="H242" s="17"/>
      <c r="I242" s="17"/>
      <c r="J242" s="17"/>
      <c r="K242" s="17"/>
      <c r="L242" s="3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98"/>
      <c r="C243" s="99"/>
      <c r="D243" s="18"/>
      <c r="E243" s="18"/>
      <c r="F243" s="13" t="s">
        <v>368</v>
      </c>
      <c r="G243" s="13" t="s">
        <v>244</v>
      </c>
      <c r="H243" s="17"/>
      <c r="I243" s="17"/>
      <c r="J243" s="17"/>
      <c r="K243" s="17"/>
      <c r="L243" s="3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98"/>
      <c r="C244" s="99"/>
      <c r="D244" s="17"/>
      <c r="E244" s="17"/>
      <c r="F244" s="17"/>
      <c r="G244" s="17"/>
      <c r="H244" s="17"/>
      <c r="I244" s="17"/>
      <c r="J244" s="17"/>
      <c r="K244" s="17"/>
      <c r="L244" s="3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00"/>
      <c r="C245" s="101"/>
      <c r="D245" s="13">
        <v>1.0</v>
      </c>
      <c r="E245" s="40">
        <v>104.0</v>
      </c>
      <c r="F245" s="13" t="s">
        <v>116</v>
      </c>
      <c r="G245" s="13" t="s">
        <v>369</v>
      </c>
      <c r="H245" s="17"/>
      <c r="I245" s="17"/>
      <c r="J245" s="17"/>
      <c r="K245" s="17"/>
      <c r="L245" s="3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98"/>
      <c r="C246" s="99"/>
      <c r="D246" s="17"/>
      <c r="E246" s="17"/>
      <c r="F246" s="17"/>
      <c r="G246" s="17"/>
      <c r="H246" s="17"/>
      <c r="I246" s="17"/>
      <c r="J246" s="17"/>
      <c r="K246" s="17"/>
      <c r="L246" s="3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00"/>
      <c r="C247" s="101"/>
      <c r="D247" s="13">
        <v>1.0</v>
      </c>
      <c r="E247" s="13">
        <v>105.0</v>
      </c>
      <c r="F247" s="13" t="s">
        <v>370</v>
      </c>
      <c r="G247" s="13" t="s">
        <v>371</v>
      </c>
      <c r="H247" s="13" t="s">
        <v>22</v>
      </c>
      <c r="I247" s="13" t="s">
        <v>372</v>
      </c>
      <c r="J247" s="13" t="s">
        <v>373</v>
      </c>
      <c r="K247" s="13">
        <v>22774.0</v>
      </c>
      <c r="L247" s="6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98"/>
      <c r="C248" s="99"/>
      <c r="D248" s="18"/>
      <c r="E248" s="18"/>
      <c r="F248" s="13" t="s">
        <v>374</v>
      </c>
      <c r="G248" s="13" t="s">
        <v>375</v>
      </c>
      <c r="H248" s="17"/>
      <c r="I248" s="17"/>
      <c r="J248" s="17"/>
      <c r="K248" s="17"/>
      <c r="L248" s="3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98"/>
      <c r="C249" s="99"/>
      <c r="D249" s="18"/>
      <c r="E249" s="18"/>
      <c r="F249" s="13" t="s">
        <v>376</v>
      </c>
      <c r="G249" s="13" t="s">
        <v>371</v>
      </c>
      <c r="H249" s="17"/>
      <c r="I249" s="17"/>
      <c r="J249" s="17"/>
      <c r="K249" s="17"/>
      <c r="L249" s="3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98"/>
      <c r="C250" s="99"/>
      <c r="D250" s="17"/>
      <c r="E250" s="17"/>
      <c r="F250" s="17"/>
      <c r="G250" s="17"/>
      <c r="H250" s="17"/>
      <c r="I250" s="17"/>
      <c r="J250" s="17"/>
      <c r="K250" s="17"/>
      <c r="L250" s="3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38">
        <v>27.0</v>
      </c>
      <c r="C251" s="39">
        <v>4.0</v>
      </c>
      <c r="D251" s="13">
        <v>2.0</v>
      </c>
      <c r="E251" s="40">
        <v>201.0</v>
      </c>
      <c r="F251" s="13" t="s">
        <v>126</v>
      </c>
      <c r="G251" s="13" t="s">
        <v>302</v>
      </c>
      <c r="H251" s="17"/>
      <c r="I251" s="17"/>
      <c r="J251" s="17"/>
      <c r="K251" s="17"/>
      <c r="L251" s="3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98"/>
      <c r="C252" s="99"/>
      <c r="D252" s="18"/>
      <c r="E252" s="18"/>
      <c r="F252" s="13" t="s">
        <v>377</v>
      </c>
      <c r="G252" s="13" t="s">
        <v>378</v>
      </c>
      <c r="H252" s="17"/>
      <c r="I252" s="17"/>
      <c r="J252" s="17"/>
      <c r="K252" s="17"/>
      <c r="L252" s="3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98"/>
      <c r="C253" s="99"/>
      <c r="D253" s="18"/>
      <c r="E253" s="18"/>
      <c r="F253" s="13" t="s">
        <v>379</v>
      </c>
      <c r="G253" s="13" t="s">
        <v>378</v>
      </c>
      <c r="H253" s="17"/>
      <c r="I253" s="17"/>
      <c r="J253" s="17"/>
      <c r="K253" s="17"/>
      <c r="L253" s="3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98"/>
      <c r="C254" s="99"/>
      <c r="D254" s="17"/>
      <c r="E254" s="17"/>
      <c r="F254" s="17"/>
      <c r="G254" s="17"/>
      <c r="H254" s="17"/>
      <c r="I254" s="17"/>
      <c r="J254" s="17"/>
      <c r="K254" s="17"/>
      <c r="L254" s="3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00"/>
      <c r="C255" s="101"/>
      <c r="D255" s="13">
        <v>2.0</v>
      </c>
      <c r="E255" s="40">
        <v>202.0</v>
      </c>
      <c r="F255" s="13" t="s">
        <v>380</v>
      </c>
      <c r="G255" s="13" t="s">
        <v>381</v>
      </c>
      <c r="H255" s="17"/>
      <c r="I255" s="17"/>
      <c r="J255" s="17"/>
      <c r="K255" s="17"/>
      <c r="L255" s="3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98"/>
      <c r="C256" s="99"/>
      <c r="D256" s="18"/>
      <c r="E256" s="18"/>
      <c r="F256" s="13" t="s">
        <v>382</v>
      </c>
      <c r="G256" s="13" t="s">
        <v>381</v>
      </c>
      <c r="H256" s="17"/>
      <c r="I256" s="17"/>
      <c r="J256" s="17"/>
      <c r="K256" s="17"/>
      <c r="L256" s="3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98"/>
      <c r="C257" s="99"/>
      <c r="D257" s="17"/>
      <c r="E257" s="17"/>
      <c r="F257" s="17"/>
      <c r="G257" s="17"/>
      <c r="H257" s="17"/>
      <c r="I257" s="17"/>
      <c r="J257" s="17"/>
      <c r="K257" s="17"/>
      <c r="L257" s="3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00"/>
      <c r="C258" s="101"/>
      <c r="D258" s="13">
        <v>2.0</v>
      </c>
      <c r="E258" s="13">
        <v>203.0</v>
      </c>
      <c r="F258" s="13" t="s">
        <v>383</v>
      </c>
      <c r="G258" s="13" t="s">
        <v>384</v>
      </c>
      <c r="H258" s="13" t="s">
        <v>47</v>
      </c>
      <c r="I258" s="13" t="s">
        <v>385</v>
      </c>
      <c r="J258" s="13" t="s">
        <v>386</v>
      </c>
      <c r="K258" s="13">
        <v>2623.0</v>
      </c>
      <c r="L258" s="6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00"/>
      <c r="C259" s="101"/>
      <c r="D259" s="13"/>
      <c r="E259" s="13"/>
      <c r="F259" s="13"/>
      <c r="G259" s="13"/>
      <c r="H259" s="13"/>
      <c r="I259" s="13"/>
      <c r="J259" s="17"/>
      <c r="K259" s="17"/>
      <c r="L259" s="3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98"/>
      <c r="C260" s="99"/>
      <c r="D260" s="17"/>
      <c r="E260" s="17"/>
      <c r="F260" s="17"/>
      <c r="G260" s="17"/>
      <c r="H260" s="17"/>
      <c r="I260" s="17"/>
      <c r="J260" s="17"/>
      <c r="K260" s="17"/>
      <c r="L260" s="3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00"/>
      <c r="C261" s="101"/>
      <c r="D261" s="13">
        <v>2.0</v>
      </c>
      <c r="E261" s="13">
        <v>204.0</v>
      </c>
      <c r="F261" s="13" t="s">
        <v>105</v>
      </c>
      <c r="G261" s="13" t="s">
        <v>387</v>
      </c>
      <c r="H261" s="17"/>
      <c r="I261" s="17"/>
      <c r="J261" s="17"/>
      <c r="K261" s="17"/>
      <c r="L261" s="3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98"/>
      <c r="C262" s="99"/>
      <c r="D262" s="18"/>
      <c r="E262" s="18"/>
      <c r="F262" s="13" t="s">
        <v>206</v>
      </c>
      <c r="G262" s="13" t="s">
        <v>387</v>
      </c>
      <c r="H262" s="17"/>
      <c r="I262" s="17"/>
      <c r="J262" s="17"/>
      <c r="K262" s="17"/>
      <c r="L262" s="3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98"/>
      <c r="C263" s="99"/>
      <c r="D263" s="18"/>
      <c r="E263" s="18"/>
      <c r="F263" s="13" t="s">
        <v>388</v>
      </c>
      <c r="G263" s="13" t="s">
        <v>387</v>
      </c>
      <c r="H263" s="17"/>
      <c r="I263" s="17"/>
      <c r="J263" s="17"/>
      <c r="K263" s="17"/>
      <c r="L263" s="3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98"/>
      <c r="C264" s="99"/>
      <c r="D264" s="18"/>
      <c r="E264" s="18"/>
      <c r="F264" s="13" t="s">
        <v>389</v>
      </c>
      <c r="G264" s="13" t="s">
        <v>387</v>
      </c>
      <c r="H264" s="13" t="s">
        <v>22</v>
      </c>
      <c r="I264" s="13" t="s">
        <v>390</v>
      </c>
      <c r="J264" s="17"/>
      <c r="K264" s="17"/>
      <c r="L264" s="3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98"/>
      <c r="C265" s="99"/>
      <c r="D265" s="18"/>
      <c r="E265" s="18"/>
      <c r="F265" s="13" t="s">
        <v>391</v>
      </c>
      <c r="G265" s="13" t="s">
        <v>387</v>
      </c>
      <c r="H265" s="18"/>
      <c r="I265" s="18"/>
      <c r="J265" s="13">
        <v>87.0</v>
      </c>
      <c r="K265" s="30">
        <v>10511.0</v>
      </c>
      <c r="L265" s="3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98"/>
      <c r="C266" s="99"/>
      <c r="D266" s="18"/>
      <c r="E266" s="18"/>
      <c r="F266" s="13" t="s">
        <v>392</v>
      </c>
      <c r="G266" s="13" t="s">
        <v>387</v>
      </c>
      <c r="H266" s="17"/>
      <c r="I266" s="17"/>
      <c r="J266" s="17"/>
      <c r="K266" s="17"/>
      <c r="L266" s="3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98"/>
      <c r="C267" s="99"/>
      <c r="D267" s="17"/>
      <c r="E267" s="17"/>
      <c r="F267" s="13" t="s">
        <v>393</v>
      </c>
      <c r="G267" s="13" t="s">
        <v>394</v>
      </c>
      <c r="H267" s="17"/>
      <c r="I267" s="13" t="s">
        <v>395</v>
      </c>
      <c r="J267" s="17"/>
      <c r="K267" s="17"/>
      <c r="L267" s="3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98"/>
      <c r="C268" s="99"/>
      <c r="D268" s="17"/>
      <c r="E268" s="17"/>
      <c r="F268" s="17"/>
      <c r="G268" s="17"/>
      <c r="H268" s="17"/>
      <c r="I268" s="17"/>
      <c r="J268" s="17"/>
      <c r="K268" s="17"/>
      <c r="L268" s="3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00"/>
      <c r="C269" s="101"/>
      <c r="D269" s="13">
        <v>2.0</v>
      </c>
      <c r="E269" s="13">
        <v>205.0</v>
      </c>
      <c r="F269" s="13" t="s">
        <v>396</v>
      </c>
      <c r="G269" s="13" t="s">
        <v>397</v>
      </c>
      <c r="H269" s="13" t="s">
        <v>22</v>
      </c>
      <c r="I269" s="13" t="s">
        <v>398</v>
      </c>
      <c r="J269" s="17"/>
      <c r="K269" s="17"/>
      <c r="L269" s="3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98"/>
      <c r="C270" s="99"/>
      <c r="D270" s="18"/>
      <c r="E270" s="18"/>
      <c r="F270" s="13" t="s">
        <v>399</v>
      </c>
      <c r="G270" s="13" t="s">
        <v>400</v>
      </c>
      <c r="H270" s="17"/>
      <c r="I270" s="17"/>
      <c r="J270" s="13">
        <v>220.0</v>
      </c>
      <c r="K270" s="104" t="s">
        <v>401</v>
      </c>
      <c r="L270" s="57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98"/>
      <c r="C271" s="99"/>
      <c r="D271" s="18"/>
      <c r="E271" s="18"/>
      <c r="F271" s="13" t="s">
        <v>402</v>
      </c>
      <c r="G271" s="13" t="s">
        <v>400</v>
      </c>
      <c r="H271" s="17"/>
      <c r="I271" s="17"/>
      <c r="J271" s="17"/>
      <c r="K271" s="17"/>
      <c r="L271" s="3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98"/>
      <c r="C272" s="99"/>
      <c r="D272" s="17"/>
      <c r="E272" s="17"/>
      <c r="F272" s="17"/>
      <c r="G272" s="17"/>
      <c r="H272" s="17"/>
      <c r="I272" s="17"/>
      <c r="J272" s="17"/>
      <c r="K272" s="17"/>
      <c r="L272" s="3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38">
        <v>27.0</v>
      </c>
      <c r="C273" s="39">
        <v>4.0</v>
      </c>
      <c r="D273" s="13">
        <v>3.0</v>
      </c>
      <c r="E273" s="13">
        <v>301.0</v>
      </c>
      <c r="F273" s="13" t="s">
        <v>403</v>
      </c>
      <c r="G273" s="13" t="s">
        <v>404</v>
      </c>
      <c r="H273" s="13" t="s">
        <v>22</v>
      </c>
      <c r="I273" s="13" t="s">
        <v>405</v>
      </c>
      <c r="J273" s="17"/>
      <c r="K273" s="17"/>
      <c r="L273" s="3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98"/>
      <c r="C274" s="99"/>
      <c r="D274" s="18"/>
      <c r="E274" s="18"/>
      <c r="F274" s="13" t="s">
        <v>406</v>
      </c>
      <c r="G274" s="13" t="s">
        <v>404</v>
      </c>
      <c r="H274" s="17"/>
      <c r="I274" s="17"/>
      <c r="J274" s="17"/>
      <c r="K274" s="17"/>
      <c r="L274" s="3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98"/>
      <c r="C275" s="99"/>
      <c r="D275" s="18"/>
      <c r="E275" s="18"/>
      <c r="F275" s="13" t="s">
        <v>407</v>
      </c>
      <c r="G275" s="13" t="s">
        <v>404</v>
      </c>
      <c r="H275" s="17"/>
      <c r="I275" s="17"/>
      <c r="J275" s="13">
        <v>263.0</v>
      </c>
      <c r="K275" s="13">
        <v>67551.0</v>
      </c>
      <c r="L275" s="6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98"/>
      <c r="C276" s="99"/>
      <c r="D276" s="17"/>
      <c r="E276" s="17"/>
      <c r="F276" s="17"/>
      <c r="G276" s="17"/>
      <c r="H276" s="17"/>
      <c r="I276" s="17"/>
      <c r="J276" s="17"/>
      <c r="K276" s="17"/>
      <c r="L276" s="3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00"/>
      <c r="C277" s="101"/>
      <c r="D277" s="13">
        <v>3.0</v>
      </c>
      <c r="E277" s="13">
        <v>302.0</v>
      </c>
      <c r="F277" s="13" t="s">
        <v>408</v>
      </c>
      <c r="G277" s="13" t="s">
        <v>409</v>
      </c>
      <c r="H277" s="13"/>
      <c r="I277" s="13"/>
      <c r="J277" s="17"/>
      <c r="K277" s="17"/>
      <c r="L277" s="3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00"/>
      <c r="C278" s="101"/>
      <c r="D278" s="13"/>
      <c r="E278" s="13"/>
      <c r="F278" s="13" t="s">
        <v>408</v>
      </c>
      <c r="G278" s="13" t="s">
        <v>409</v>
      </c>
      <c r="H278" s="13" t="s">
        <v>22</v>
      </c>
      <c r="I278" s="13" t="s">
        <v>410</v>
      </c>
      <c r="J278" s="17"/>
      <c r="K278" s="17"/>
      <c r="L278" s="3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98"/>
      <c r="C279" s="99"/>
      <c r="D279" s="18"/>
      <c r="E279" s="18"/>
      <c r="F279" s="13" t="s">
        <v>411</v>
      </c>
      <c r="G279" s="13" t="s">
        <v>412</v>
      </c>
      <c r="H279" s="17"/>
      <c r="I279" s="17"/>
      <c r="J279" s="17"/>
      <c r="K279" s="17"/>
      <c r="L279" s="3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98"/>
      <c r="C280" s="99"/>
      <c r="D280" s="17"/>
      <c r="E280" s="17"/>
      <c r="F280" s="17"/>
      <c r="G280" s="17"/>
      <c r="H280" s="17"/>
      <c r="I280" s="17"/>
      <c r="J280" s="17"/>
      <c r="K280" s="17"/>
      <c r="L280" s="3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00"/>
      <c r="C281" s="101"/>
      <c r="D281" s="13">
        <v>3.0</v>
      </c>
      <c r="E281" s="40">
        <v>303.0</v>
      </c>
      <c r="F281" s="13" t="s">
        <v>413</v>
      </c>
      <c r="G281" s="13" t="s">
        <v>414</v>
      </c>
      <c r="H281" s="17"/>
      <c r="I281" s="17"/>
      <c r="J281" s="17"/>
      <c r="K281" s="17"/>
      <c r="L281" s="3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98"/>
      <c r="C282" s="99"/>
      <c r="D282" s="18"/>
      <c r="E282" s="18"/>
      <c r="F282" s="13" t="s">
        <v>415</v>
      </c>
      <c r="G282" s="13" t="s">
        <v>416</v>
      </c>
      <c r="H282" s="17"/>
      <c r="I282" s="17"/>
      <c r="J282" s="17"/>
      <c r="K282" s="17"/>
      <c r="L282" s="3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98"/>
      <c r="C283" s="99"/>
      <c r="D283" s="18"/>
      <c r="E283" s="18"/>
      <c r="F283" s="13" t="s">
        <v>305</v>
      </c>
      <c r="G283" s="13" t="s">
        <v>414</v>
      </c>
      <c r="H283" s="17"/>
      <c r="I283" s="17"/>
      <c r="J283" s="17"/>
      <c r="K283" s="17"/>
      <c r="L283" s="3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98"/>
      <c r="C284" s="99"/>
      <c r="D284" s="18"/>
      <c r="E284" s="18"/>
      <c r="F284" s="13" t="s">
        <v>61</v>
      </c>
      <c r="G284" s="13" t="s">
        <v>416</v>
      </c>
      <c r="H284" s="17"/>
      <c r="I284" s="17"/>
      <c r="J284" s="17"/>
      <c r="K284" s="17"/>
      <c r="L284" s="3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98"/>
      <c r="C285" s="99"/>
      <c r="D285" s="17"/>
      <c r="E285" s="17"/>
      <c r="F285" s="17"/>
      <c r="G285" s="17"/>
      <c r="H285" s="17"/>
      <c r="I285" s="17"/>
      <c r="J285" s="17"/>
      <c r="K285" s="17"/>
      <c r="L285" s="3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00"/>
      <c r="C286" s="101"/>
      <c r="D286" s="13">
        <v>3.0</v>
      </c>
      <c r="E286" s="13">
        <v>304.0</v>
      </c>
      <c r="F286" s="13" t="s">
        <v>417</v>
      </c>
      <c r="G286" s="13" t="s">
        <v>418</v>
      </c>
      <c r="H286" s="13" t="s">
        <v>22</v>
      </c>
      <c r="I286" s="13" t="s">
        <v>419</v>
      </c>
      <c r="J286" s="13">
        <v>155.0</v>
      </c>
      <c r="K286" s="13">
        <v>2599.0</v>
      </c>
      <c r="L286" s="6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98"/>
      <c r="C287" s="99"/>
      <c r="D287" s="17"/>
      <c r="E287" s="17"/>
      <c r="F287" s="17"/>
      <c r="G287" s="17"/>
      <c r="H287" s="17"/>
      <c r="I287" s="17"/>
      <c r="J287" s="17"/>
      <c r="K287" s="17"/>
      <c r="L287" s="3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00"/>
      <c r="C288" s="101"/>
      <c r="D288" s="13">
        <v>3.0</v>
      </c>
      <c r="E288" s="13">
        <v>305.0</v>
      </c>
      <c r="F288" s="13" t="s">
        <v>420</v>
      </c>
      <c r="G288" s="13" t="s">
        <v>239</v>
      </c>
      <c r="H288" s="13" t="s">
        <v>87</v>
      </c>
      <c r="I288" s="13" t="s">
        <v>421</v>
      </c>
      <c r="J288" s="17"/>
      <c r="K288" s="17"/>
      <c r="L288" s="3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98"/>
      <c r="C289" s="99"/>
      <c r="D289" s="18"/>
      <c r="E289" s="18"/>
      <c r="F289" s="14" t="s">
        <v>422</v>
      </c>
      <c r="G289" s="14" t="s">
        <v>423</v>
      </c>
      <c r="H289" s="18"/>
      <c r="I289" s="74"/>
      <c r="J289" s="13">
        <v>88.0</v>
      </c>
      <c r="K289" s="91">
        <v>3.0</v>
      </c>
      <c r="L289" s="73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98"/>
      <c r="C290" s="99"/>
      <c r="D290" s="18"/>
      <c r="E290" s="18"/>
      <c r="F290" s="29" t="s">
        <v>424</v>
      </c>
      <c r="G290" s="29" t="s">
        <v>239</v>
      </c>
      <c r="H290" s="17"/>
      <c r="I290" s="17"/>
      <c r="J290" s="17"/>
      <c r="K290" s="17"/>
      <c r="L290" s="3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98"/>
      <c r="C291" s="99"/>
      <c r="D291" s="17"/>
      <c r="E291" s="17"/>
      <c r="F291" s="17"/>
      <c r="G291" s="17"/>
      <c r="H291" s="17"/>
      <c r="I291" s="17"/>
      <c r="J291" s="17"/>
      <c r="K291" s="17"/>
      <c r="L291" s="3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98"/>
      <c r="C292" s="99"/>
      <c r="D292" s="17"/>
      <c r="E292" s="17"/>
      <c r="F292" s="17"/>
      <c r="G292" s="17"/>
      <c r="H292" s="17"/>
      <c r="I292" s="17"/>
      <c r="J292" s="17"/>
      <c r="K292" s="17"/>
      <c r="L292" s="3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98"/>
      <c r="C293" s="99"/>
      <c r="D293" s="17"/>
      <c r="E293" s="17"/>
      <c r="F293" s="17"/>
      <c r="G293" s="17"/>
      <c r="H293" s="17"/>
      <c r="I293" s="17"/>
      <c r="J293" s="17"/>
      <c r="K293" s="17"/>
      <c r="L293" s="3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38">
        <v>27.0</v>
      </c>
      <c r="C294" s="39">
        <v>4.0</v>
      </c>
      <c r="D294" s="13">
        <v>4.0</v>
      </c>
      <c r="E294" s="13">
        <v>401.0</v>
      </c>
      <c r="F294" s="13" t="s">
        <v>425</v>
      </c>
      <c r="G294" s="13" t="s">
        <v>426</v>
      </c>
      <c r="H294" s="17"/>
      <c r="I294" s="17"/>
      <c r="J294" s="17"/>
      <c r="K294" s="17"/>
      <c r="L294" s="3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98"/>
      <c r="C295" s="99"/>
      <c r="D295" s="18"/>
      <c r="E295" s="13"/>
      <c r="F295" s="13"/>
      <c r="G295" s="13"/>
      <c r="H295" s="13"/>
      <c r="I295" s="13"/>
      <c r="J295" s="17"/>
      <c r="K295" s="17"/>
      <c r="L295" s="3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98"/>
      <c r="C296" s="99"/>
      <c r="D296" s="18"/>
      <c r="E296" s="18"/>
      <c r="F296" s="13" t="s">
        <v>427</v>
      </c>
      <c r="G296" s="13" t="s">
        <v>428</v>
      </c>
      <c r="H296" s="13" t="s">
        <v>22</v>
      </c>
      <c r="I296" s="13" t="s">
        <v>429</v>
      </c>
      <c r="J296" s="17"/>
      <c r="K296" s="17"/>
      <c r="L296" s="3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98"/>
      <c r="C297" s="99"/>
      <c r="D297" s="18"/>
      <c r="E297" s="18"/>
      <c r="F297" s="13"/>
      <c r="G297" s="13"/>
      <c r="H297" s="13"/>
      <c r="I297" s="13"/>
      <c r="J297" s="17"/>
      <c r="K297" s="17"/>
      <c r="L297" s="3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98"/>
      <c r="C298" s="99"/>
      <c r="D298" s="17"/>
      <c r="E298" s="17"/>
      <c r="F298" s="17"/>
      <c r="G298" s="17"/>
      <c r="H298" s="17"/>
      <c r="I298" s="17"/>
      <c r="J298" s="17"/>
      <c r="K298" s="17"/>
      <c r="L298" s="3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00"/>
      <c r="C299" s="105"/>
      <c r="D299" s="13">
        <v>4.0</v>
      </c>
      <c r="E299" s="40">
        <v>402.0</v>
      </c>
      <c r="F299" s="13" t="s">
        <v>425</v>
      </c>
      <c r="G299" s="13" t="s">
        <v>355</v>
      </c>
      <c r="H299" s="13"/>
      <c r="I299" s="13"/>
      <c r="J299" s="17"/>
      <c r="K299" s="17"/>
      <c r="L299" s="3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98"/>
      <c r="C300" s="99"/>
      <c r="D300" s="18"/>
      <c r="E300" s="18"/>
      <c r="F300" s="13" t="s">
        <v>430</v>
      </c>
      <c r="G300" s="13" t="s">
        <v>43</v>
      </c>
      <c r="H300" s="17"/>
      <c r="I300" s="17"/>
      <c r="J300" s="17"/>
      <c r="K300" s="17"/>
      <c r="L300" s="3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98"/>
      <c r="C301" s="99"/>
      <c r="D301" s="18"/>
      <c r="E301" s="18"/>
      <c r="F301" s="13" t="s">
        <v>431</v>
      </c>
      <c r="G301" s="13" t="s">
        <v>355</v>
      </c>
      <c r="H301" s="17"/>
      <c r="I301" s="17"/>
      <c r="J301" s="17"/>
      <c r="K301" s="17"/>
      <c r="L301" s="3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98"/>
      <c r="C302" s="99"/>
      <c r="D302" s="18"/>
      <c r="E302" s="18"/>
      <c r="F302" s="13" t="s">
        <v>432</v>
      </c>
      <c r="G302" s="13" t="s">
        <v>355</v>
      </c>
      <c r="H302" s="17"/>
      <c r="I302" s="17"/>
      <c r="J302" s="17"/>
      <c r="K302" s="17"/>
      <c r="L302" s="3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98"/>
      <c r="C303" s="99"/>
      <c r="D303" s="17"/>
      <c r="E303" s="17"/>
      <c r="F303" s="17"/>
      <c r="G303" s="17"/>
      <c r="H303" s="17"/>
      <c r="I303" s="17"/>
      <c r="J303" s="17"/>
      <c r="K303" s="17"/>
      <c r="L303" s="3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00"/>
      <c r="C304" s="101"/>
      <c r="D304" s="13">
        <v>4.0</v>
      </c>
      <c r="E304" s="106">
        <v>403.0</v>
      </c>
      <c r="F304" s="13" t="s">
        <v>433</v>
      </c>
      <c r="G304" s="13" t="s">
        <v>381</v>
      </c>
      <c r="H304" s="17"/>
      <c r="I304" s="17"/>
      <c r="J304" s="17"/>
      <c r="K304" s="17"/>
      <c r="L304" s="3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98"/>
      <c r="C305" s="99"/>
      <c r="D305" s="18"/>
      <c r="E305" s="18"/>
      <c r="F305" s="13" t="s">
        <v>434</v>
      </c>
      <c r="G305" s="13"/>
      <c r="H305" s="13"/>
      <c r="I305" s="13"/>
      <c r="J305" s="13">
        <v>397.0</v>
      </c>
      <c r="K305" s="13" t="s">
        <v>121</v>
      </c>
      <c r="L305" s="6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98"/>
      <c r="C306" s="99"/>
      <c r="D306" s="18"/>
      <c r="E306" s="18"/>
      <c r="F306" s="13" t="s">
        <v>435</v>
      </c>
      <c r="G306" s="13" t="s">
        <v>436</v>
      </c>
      <c r="H306" s="13" t="s">
        <v>437</v>
      </c>
      <c r="I306" s="13" t="s">
        <v>438</v>
      </c>
      <c r="J306" s="17"/>
      <c r="K306" s="17"/>
      <c r="L306" s="3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98"/>
      <c r="C307" s="99"/>
      <c r="D307" s="18"/>
      <c r="E307" s="18"/>
      <c r="F307" s="13" t="s">
        <v>435</v>
      </c>
      <c r="G307" s="13" t="s">
        <v>436</v>
      </c>
      <c r="H307" s="13"/>
      <c r="I307" s="13" t="s">
        <v>439</v>
      </c>
      <c r="J307" s="17"/>
      <c r="K307" s="17"/>
      <c r="L307" s="3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98"/>
      <c r="C308" s="99"/>
      <c r="D308" s="18"/>
      <c r="E308" s="18"/>
      <c r="F308" s="13" t="s">
        <v>440</v>
      </c>
      <c r="G308" s="13" t="s">
        <v>436</v>
      </c>
      <c r="H308" s="17"/>
      <c r="I308" s="17"/>
      <c r="J308" s="17"/>
      <c r="K308" s="17"/>
      <c r="L308" s="3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98"/>
      <c r="C309" s="99"/>
      <c r="D309" s="17"/>
      <c r="E309" s="17"/>
      <c r="F309" s="17"/>
      <c r="G309" s="17"/>
      <c r="H309" s="17"/>
      <c r="I309" s="17"/>
      <c r="J309" s="17"/>
      <c r="K309" s="17"/>
      <c r="L309" s="3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00"/>
      <c r="C310" s="101"/>
      <c r="D310" s="13">
        <v>4.0</v>
      </c>
      <c r="E310" s="13">
        <v>404.0</v>
      </c>
      <c r="F310" s="13" t="s">
        <v>205</v>
      </c>
      <c r="G310" s="13" t="s">
        <v>441</v>
      </c>
      <c r="H310" s="13" t="s">
        <v>22</v>
      </c>
      <c r="I310" s="13" t="s">
        <v>442</v>
      </c>
      <c r="J310" s="17"/>
      <c r="K310" s="17"/>
      <c r="L310" s="3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98"/>
      <c r="C311" s="99"/>
      <c r="D311" s="18"/>
      <c r="E311" s="18"/>
      <c r="F311" s="13" t="s">
        <v>443</v>
      </c>
      <c r="G311" s="13" t="s">
        <v>444</v>
      </c>
      <c r="H311" s="17"/>
      <c r="I311" s="17"/>
      <c r="J311" s="17"/>
      <c r="K311" s="17"/>
      <c r="L311" s="3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98"/>
      <c r="C312" s="99"/>
      <c r="D312" s="18"/>
      <c r="E312" s="18"/>
      <c r="F312" s="13" t="s">
        <v>445</v>
      </c>
      <c r="G312" s="13" t="s">
        <v>441</v>
      </c>
      <c r="H312" s="17"/>
      <c r="I312" s="17"/>
      <c r="J312" s="17"/>
      <c r="K312" s="17"/>
      <c r="L312" s="3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98"/>
      <c r="C313" s="99"/>
      <c r="D313" s="18"/>
      <c r="E313" s="18"/>
      <c r="F313" s="13" t="s">
        <v>446</v>
      </c>
      <c r="G313" s="13" t="s">
        <v>444</v>
      </c>
      <c r="H313" s="17"/>
      <c r="I313" s="17"/>
      <c r="J313" s="17"/>
      <c r="K313" s="17"/>
      <c r="L313" s="3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98"/>
      <c r="C314" s="99"/>
      <c r="D314" s="17"/>
      <c r="E314" s="17"/>
      <c r="F314" s="17"/>
      <c r="G314" s="17"/>
      <c r="H314" s="17"/>
      <c r="I314" s="17"/>
      <c r="J314" s="17"/>
      <c r="K314" s="17"/>
      <c r="L314" s="3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00"/>
      <c r="C315" s="101"/>
      <c r="D315" s="13">
        <v>4.0</v>
      </c>
      <c r="E315" s="13">
        <v>405.0</v>
      </c>
      <c r="F315" s="13" t="s">
        <v>97</v>
      </c>
      <c r="G315" s="13" t="s">
        <v>369</v>
      </c>
      <c r="H315" s="18"/>
      <c r="I315" s="74"/>
      <c r="J315" s="13">
        <v>117.0</v>
      </c>
      <c r="K315" s="91">
        <v>3.0</v>
      </c>
      <c r="L315" s="73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98"/>
      <c r="C316" s="99"/>
      <c r="D316" s="18"/>
      <c r="E316" s="18"/>
      <c r="F316" s="13" t="s">
        <v>447</v>
      </c>
      <c r="G316" s="13" t="s">
        <v>448</v>
      </c>
      <c r="H316" s="13" t="s">
        <v>22</v>
      </c>
      <c r="I316" s="13" t="s">
        <v>449</v>
      </c>
      <c r="J316" s="17"/>
      <c r="K316" s="17"/>
      <c r="L316" s="3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98"/>
      <c r="C317" s="99"/>
      <c r="D317" s="18"/>
      <c r="E317" s="18"/>
      <c r="F317" s="13" t="s">
        <v>432</v>
      </c>
      <c r="G317" s="13" t="s">
        <v>448</v>
      </c>
      <c r="H317" s="13" t="s">
        <v>47</v>
      </c>
      <c r="I317" s="13" t="s">
        <v>450</v>
      </c>
      <c r="J317" s="17"/>
      <c r="K317" s="17"/>
      <c r="L317" s="3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6"/>
      <c r="C318" s="17"/>
      <c r="D318" s="17"/>
      <c r="E318" s="17"/>
      <c r="F318" s="17"/>
      <c r="G318" s="17"/>
      <c r="H318" s="17"/>
      <c r="I318" s="17"/>
      <c r="J318" s="17"/>
      <c r="K318" s="17"/>
      <c r="L318" s="3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81">
        <v>28.0</v>
      </c>
      <c r="C319" s="18"/>
      <c r="D319" s="13" t="s">
        <v>19</v>
      </c>
      <c r="E319" s="13">
        <v>1.0</v>
      </c>
      <c r="F319" s="13" t="s">
        <v>399</v>
      </c>
      <c r="G319" s="13" t="s">
        <v>451</v>
      </c>
      <c r="H319" s="17"/>
      <c r="I319" s="17"/>
      <c r="J319" s="17"/>
      <c r="K319" s="17"/>
      <c r="L319" s="3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6"/>
      <c r="C320" s="17"/>
      <c r="D320" s="18"/>
      <c r="E320" s="18"/>
      <c r="F320" s="13" t="s">
        <v>452</v>
      </c>
      <c r="G320" s="13" t="s">
        <v>451</v>
      </c>
      <c r="H320" s="17"/>
      <c r="I320" s="17"/>
      <c r="J320" s="17"/>
      <c r="K320" s="17"/>
      <c r="L320" s="3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6"/>
      <c r="C321" s="17"/>
      <c r="D321" s="17"/>
      <c r="E321" s="17"/>
      <c r="F321" s="13" t="s">
        <v>452</v>
      </c>
      <c r="G321" s="13" t="s">
        <v>453</v>
      </c>
      <c r="H321" s="13" t="s">
        <v>22</v>
      </c>
      <c r="I321" s="13" t="s">
        <v>454</v>
      </c>
      <c r="J321" s="17"/>
      <c r="K321" s="17"/>
      <c r="L321" s="3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6"/>
      <c r="C322" s="17"/>
      <c r="D322" s="17"/>
      <c r="E322" s="17"/>
      <c r="F322" s="13" t="s">
        <v>455</v>
      </c>
      <c r="G322" s="13" t="s">
        <v>453</v>
      </c>
      <c r="H322" s="13" t="s">
        <v>260</v>
      </c>
      <c r="I322" s="13" t="s">
        <v>456</v>
      </c>
      <c r="J322" s="13">
        <v>334.0</v>
      </c>
      <c r="K322" s="13" t="s">
        <v>457</v>
      </c>
      <c r="L322" s="6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6"/>
      <c r="C323" s="17"/>
      <c r="D323" s="17"/>
      <c r="E323" s="17"/>
      <c r="F323" s="13" t="s">
        <v>455</v>
      </c>
      <c r="G323" s="13" t="s">
        <v>453</v>
      </c>
      <c r="H323" s="13" t="s">
        <v>22</v>
      </c>
      <c r="I323" s="13" t="s">
        <v>458</v>
      </c>
      <c r="J323" s="17"/>
      <c r="K323" s="17"/>
      <c r="L323" s="3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6"/>
      <c r="C324" s="17"/>
      <c r="D324" s="17"/>
      <c r="E324" s="17"/>
      <c r="F324" s="13" t="s">
        <v>459</v>
      </c>
      <c r="G324" s="13" t="s">
        <v>460</v>
      </c>
      <c r="H324" s="13"/>
      <c r="I324" s="13"/>
      <c r="J324" s="13">
        <v>331.0</v>
      </c>
      <c r="K324" s="13" t="s">
        <v>457</v>
      </c>
      <c r="L324" s="6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25"/>
      <c r="C325" s="18"/>
      <c r="D325" s="13"/>
      <c r="E325" s="13"/>
      <c r="F325" s="13"/>
      <c r="G325" s="13"/>
      <c r="H325" s="13"/>
      <c r="I325" s="13"/>
      <c r="J325" s="17"/>
      <c r="K325" s="17"/>
      <c r="L325" s="3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25"/>
      <c r="C326" s="18"/>
      <c r="D326" s="13" t="s">
        <v>19</v>
      </c>
      <c r="E326" s="13">
        <v>2.0</v>
      </c>
      <c r="F326" s="13" t="s">
        <v>461</v>
      </c>
      <c r="G326" s="13" t="s">
        <v>409</v>
      </c>
      <c r="H326" s="13"/>
      <c r="I326" s="13"/>
      <c r="J326" s="17"/>
      <c r="K326" s="17"/>
      <c r="L326" s="3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6"/>
      <c r="C327" s="17"/>
      <c r="D327" s="18"/>
      <c r="E327" s="18"/>
      <c r="F327" s="13" t="s">
        <v>461</v>
      </c>
      <c r="G327" s="13" t="s">
        <v>409</v>
      </c>
      <c r="H327" s="13" t="s">
        <v>47</v>
      </c>
      <c r="I327" s="13" t="s">
        <v>462</v>
      </c>
      <c r="J327" s="17"/>
      <c r="K327" s="17"/>
      <c r="L327" s="3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6"/>
      <c r="C328" s="17"/>
      <c r="D328" s="17"/>
      <c r="E328" s="17"/>
      <c r="F328" s="17"/>
      <c r="G328" s="17"/>
      <c r="H328" s="17"/>
      <c r="I328" s="17"/>
      <c r="J328" s="17"/>
      <c r="K328" s="17"/>
      <c r="L328" s="3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25"/>
      <c r="C329" s="18"/>
      <c r="D329" s="13" t="s">
        <v>19</v>
      </c>
      <c r="E329" s="13">
        <v>3.0</v>
      </c>
      <c r="F329" s="13" t="s">
        <v>463</v>
      </c>
      <c r="G329" s="13" t="s">
        <v>45</v>
      </c>
      <c r="H329" s="107" t="s">
        <v>260</v>
      </c>
      <c r="I329" s="13" t="s">
        <v>464</v>
      </c>
      <c r="J329" s="13" t="s">
        <v>465</v>
      </c>
      <c r="K329" s="13">
        <v>4655.0</v>
      </c>
      <c r="L329" s="6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6"/>
      <c r="C330" s="17"/>
      <c r="D330" s="17"/>
      <c r="E330" s="17"/>
      <c r="F330" s="13" t="s">
        <v>463</v>
      </c>
      <c r="G330" s="13" t="s">
        <v>45</v>
      </c>
      <c r="H330" s="13" t="s">
        <v>22</v>
      </c>
      <c r="I330" s="13" t="s">
        <v>466</v>
      </c>
      <c r="J330" s="17"/>
      <c r="K330" s="17"/>
      <c r="L330" s="3"/>
      <c r="M330" s="2" t="s">
        <v>467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6"/>
      <c r="C331" s="17"/>
      <c r="D331" s="17"/>
      <c r="E331" s="17"/>
      <c r="F331" s="17"/>
      <c r="G331" s="17"/>
      <c r="H331" s="17"/>
      <c r="I331" s="17"/>
      <c r="J331" s="17"/>
      <c r="K331" s="17"/>
      <c r="L331" s="3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25"/>
      <c r="C332" s="18"/>
      <c r="D332" s="13" t="s">
        <v>19</v>
      </c>
      <c r="E332" s="13">
        <v>4.0</v>
      </c>
      <c r="F332" s="13" t="s">
        <v>468</v>
      </c>
      <c r="G332" s="13" t="s">
        <v>129</v>
      </c>
      <c r="H332" s="13" t="s">
        <v>22</v>
      </c>
      <c r="I332" s="13" t="s">
        <v>469</v>
      </c>
      <c r="J332" s="13">
        <v>418.0</v>
      </c>
      <c r="K332" s="13" t="s">
        <v>470</v>
      </c>
      <c r="L332" s="3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6"/>
      <c r="C333" s="17"/>
      <c r="D333" s="17"/>
      <c r="E333" s="17"/>
      <c r="F333" s="17"/>
      <c r="G333" s="17"/>
      <c r="H333" s="17"/>
      <c r="I333" s="17"/>
      <c r="J333" s="17"/>
      <c r="K333" s="17"/>
      <c r="L333" s="3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6"/>
      <c r="C334" s="17"/>
      <c r="D334" s="18"/>
      <c r="E334" s="18"/>
      <c r="F334" s="13" t="s">
        <v>471</v>
      </c>
      <c r="G334" s="13" t="s">
        <v>472</v>
      </c>
      <c r="H334" s="17"/>
      <c r="I334" s="17"/>
      <c r="J334" s="17"/>
      <c r="K334" s="17"/>
      <c r="L334" s="3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6"/>
      <c r="C335" s="17"/>
      <c r="D335" s="17"/>
      <c r="E335" s="17"/>
      <c r="F335" s="17"/>
      <c r="G335" s="17"/>
      <c r="H335" s="17"/>
      <c r="I335" s="17"/>
      <c r="J335" s="17"/>
      <c r="K335" s="17"/>
      <c r="L335" s="3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81">
        <v>28.0</v>
      </c>
      <c r="C336" s="18"/>
      <c r="D336" s="13">
        <v>1.0</v>
      </c>
      <c r="E336" s="40">
        <v>101.0</v>
      </c>
      <c r="F336" s="13" t="s">
        <v>473</v>
      </c>
      <c r="G336" s="13" t="s">
        <v>474</v>
      </c>
      <c r="H336" s="13"/>
      <c r="I336" s="13"/>
      <c r="J336" s="13">
        <v>321.0</v>
      </c>
      <c r="K336" s="37">
        <v>6.0</v>
      </c>
      <c r="L336" s="27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81"/>
      <c r="C337" s="18"/>
      <c r="D337" s="13"/>
      <c r="E337" s="40"/>
      <c r="F337" s="13" t="s">
        <v>475</v>
      </c>
      <c r="G337" s="13" t="s">
        <v>476</v>
      </c>
      <c r="H337" s="13" t="str">
        <f t="array" ref="H337">IFNA(VLOOKUP(I337,{'Lista de receptores'!B$5:B1206,'Lista de receptores'!E$5:E1206},2,FALSE),"")</f>
        <v>BLOQUEADO</v>
      </c>
      <c r="I337" s="13" t="s">
        <v>477</v>
      </c>
      <c r="J337" s="13">
        <v>322.0</v>
      </c>
      <c r="K337" s="19"/>
      <c r="L337" s="27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6"/>
      <c r="C338" s="17"/>
      <c r="D338" s="18"/>
      <c r="E338" s="18"/>
      <c r="F338" s="13" t="s">
        <v>35</v>
      </c>
      <c r="G338" s="13" t="s">
        <v>474</v>
      </c>
      <c r="H338" s="17"/>
      <c r="I338" s="17"/>
      <c r="J338" s="17"/>
      <c r="K338" s="17"/>
      <c r="L338" s="3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6"/>
      <c r="C339" s="17"/>
      <c r="D339" s="18"/>
      <c r="E339" s="18"/>
      <c r="F339" s="13" t="s">
        <v>478</v>
      </c>
      <c r="G339" s="13" t="s">
        <v>474</v>
      </c>
      <c r="H339" s="17"/>
      <c r="I339" s="17"/>
      <c r="J339" s="17"/>
      <c r="K339" s="17"/>
      <c r="L339" s="3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6"/>
      <c r="C340" s="17"/>
      <c r="D340" s="18"/>
      <c r="E340" s="18"/>
      <c r="F340" s="13" t="s">
        <v>479</v>
      </c>
      <c r="G340" s="13" t="s">
        <v>480</v>
      </c>
      <c r="H340" s="17"/>
      <c r="I340" s="17"/>
      <c r="J340" s="17"/>
      <c r="K340" s="17"/>
      <c r="L340" s="3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6"/>
      <c r="C341" s="17"/>
      <c r="D341" s="17"/>
      <c r="E341" s="17"/>
      <c r="F341" s="17"/>
      <c r="G341" s="17"/>
      <c r="H341" s="17"/>
      <c r="I341" s="17"/>
      <c r="J341" s="17"/>
      <c r="K341" s="17"/>
      <c r="L341" s="3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25"/>
      <c r="C342" s="18"/>
      <c r="D342" s="13">
        <v>1.0</v>
      </c>
      <c r="E342" s="13">
        <v>102.0</v>
      </c>
      <c r="F342" s="13" t="s">
        <v>272</v>
      </c>
      <c r="G342" s="13" t="s">
        <v>481</v>
      </c>
      <c r="H342" s="13" t="s">
        <v>22</v>
      </c>
      <c r="I342" s="13" t="s">
        <v>482</v>
      </c>
      <c r="J342" s="17"/>
      <c r="K342" s="17"/>
      <c r="L342" s="3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6"/>
      <c r="C343" s="17"/>
      <c r="D343" s="17"/>
      <c r="E343" s="17"/>
      <c r="F343" s="108" t="s">
        <v>483</v>
      </c>
      <c r="G343" s="17"/>
      <c r="H343" s="17"/>
      <c r="I343" s="17"/>
      <c r="J343" s="17"/>
      <c r="K343" s="17"/>
      <c r="L343" s="3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6"/>
      <c r="C344" s="17"/>
      <c r="D344" s="17"/>
      <c r="E344" s="17"/>
      <c r="F344" s="17"/>
      <c r="G344" s="17"/>
      <c r="H344" s="17"/>
      <c r="I344" s="17"/>
      <c r="J344" s="17"/>
      <c r="K344" s="17"/>
      <c r="L344" s="3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6"/>
      <c r="C345" s="17"/>
      <c r="D345" s="17"/>
      <c r="E345" s="17"/>
      <c r="F345" s="17"/>
      <c r="G345" s="17"/>
      <c r="H345" s="17"/>
      <c r="I345" s="17"/>
      <c r="J345" s="17"/>
      <c r="K345" s="17"/>
      <c r="L345" s="3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25"/>
      <c r="C346" s="18"/>
      <c r="D346" s="13">
        <v>1.0</v>
      </c>
      <c r="E346" s="13">
        <v>103.0</v>
      </c>
      <c r="F346" s="13" t="s">
        <v>435</v>
      </c>
      <c r="G346" s="13" t="s">
        <v>484</v>
      </c>
      <c r="H346" s="13" t="s">
        <v>22</v>
      </c>
      <c r="I346" s="13" t="s">
        <v>485</v>
      </c>
      <c r="J346" s="13" t="s">
        <v>486</v>
      </c>
      <c r="K346" s="30" t="s">
        <v>487</v>
      </c>
      <c r="L346" s="3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6"/>
      <c r="C347" s="17"/>
      <c r="D347" s="17"/>
      <c r="E347" s="17"/>
      <c r="F347" s="17"/>
      <c r="G347" s="17"/>
      <c r="H347" s="17"/>
      <c r="I347" s="17"/>
      <c r="J347" s="17"/>
      <c r="K347" s="17"/>
      <c r="L347" s="3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25"/>
      <c r="C348" s="18"/>
      <c r="D348" s="13">
        <v>1.0</v>
      </c>
      <c r="E348" s="13">
        <v>104.0</v>
      </c>
      <c r="F348" s="13" t="s">
        <v>488</v>
      </c>
      <c r="G348" s="13" t="s">
        <v>436</v>
      </c>
      <c r="H348" s="13" t="s">
        <v>22</v>
      </c>
      <c r="I348" s="13" t="s">
        <v>489</v>
      </c>
      <c r="J348" s="13">
        <v>264.0</v>
      </c>
      <c r="K348" s="13">
        <v>4642.0</v>
      </c>
      <c r="L348" s="6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6"/>
      <c r="C349" s="17"/>
      <c r="D349" s="18"/>
      <c r="E349" s="18"/>
      <c r="F349" s="13" t="s">
        <v>452</v>
      </c>
      <c r="G349" s="13" t="s">
        <v>436</v>
      </c>
      <c r="H349" s="17"/>
      <c r="I349" s="17"/>
      <c r="J349" s="17"/>
      <c r="K349" s="17"/>
      <c r="L349" s="3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6"/>
      <c r="C350" s="17"/>
      <c r="D350" s="17"/>
      <c r="E350" s="17"/>
      <c r="F350" s="13" t="s">
        <v>490</v>
      </c>
      <c r="G350" s="13" t="s">
        <v>491</v>
      </c>
      <c r="H350" s="17"/>
      <c r="I350" s="17"/>
      <c r="J350" s="13">
        <v>303.0</v>
      </c>
      <c r="K350" s="13">
        <v>5826.0</v>
      </c>
      <c r="L350" s="6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6"/>
      <c r="C351" s="17"/>
      <c r="D351" s="18"/>
      <c r="E351" s="18"/>
      <c r="F351" s="13" t="s">
        <v>492</v>
      </c>
      <c r="G351" s="13" t="s">
        <v>436</v>
      </c>
      <c r="H351" s="17"/>
      <c r="I351" s="17"/>
      <c r="J351" s="13">
        <v>42.0</v>
      </c>
      <c r="K351" s="13">
        <v>7234.0</v>
      </c>
      <c r="L351" s="6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6"/>
      <c r="C352" s="17"/>
      <c r="D352" s="17"/>
      <c r="E352" s="17"/>
      <c r="F352" s="17"/>
      <c r="G352" s="17"/>
      <c r="H352" s="17"/>
      <c r="I352" s="17"/>
      <c r="J352" s="17"/>
      <c r="K352" s="17"/>
      <c r="L352" s="3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81">
        <v>28.0</v>
      </c>
      <c r="C353" s="18"/>
      <c r="D353" s="13">
        <v>2.0</v>
      </c>
      <c r="E353" s="13">
        <v>201.0</v>
      </c>
      <c r="F353" s="109" t="s">
        <v>493</v>
      </c>
      <c r="G353" s="110" t="s">
        <v>494</v>
      </c>
      <c r="H353" s="111"/>
      <c r="I353" s="111"/>
      <c r="J353" s="112">
        <v>133.0</v>
      </c>
      <c r="K353" s="113" t="s">
        <v>495</v>
      </c>
      <c r="L353" s="114"/>
      <c r="M353" s="115">
        <v>13.0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6"/>
      <c r="C354" s="17"/>
      <c r="D354" s="18"/>
      <c r="E354" s="18"/>
      <c r="F354" s="41"/>
      <c r="G354" s="41"/>
      <c r="H354" s="17"/>
      <c r="I354" s="17"/>
      <c r="J354" s="13">
        <v>282.0</v>
      </c>
      <c r="K354" s="13" t="s">
        <v>496</v>
      </c>
      <c r="L354" s="6"/>
      <c r="M354" s="116">
        <v>10.0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6"/>
      <c r="C355" s="17"/>
      <c r="D355" s="18"/>
      <c r="E355" s="18"/>
      <c r="F355" s="59"/>
      <c r="G355" s="59"/>
      <c r="H355" s="17"/>
      <c r="I355" s="17"/>
      <c r="J355" s="17"/>
      <c r="K355" s="17"/>
      <c r="L355" s="3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6"/>
      <c r="C356" s="17"/>
      <c r="D356" s="17"/>
      <c r="E356" s="17"/>
      <c r="F356" s="17"/>
      <c r="G356" s="17"/>
      <c r="H356" s="17"/>
      <c r="I356" s="3"/>
      <c r="J356" s="16"/>
      <c r="K356" s="17"/>
      <c r="L356" s="3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6"/>
      <c r="C357" s="17"/>
      <c r="D357" s="17"/>
      <c r="E357" s="17"/>
      <c r="F357" s="17"/>
      <c r="G357" s="17"/>
      <c r="H357" s="17"/>
      <c r="I357" s="47"/>
      <c r="J357" s="17"/>
      <c r="K357" s="17"/>
      <c r="L357" s="3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25"/>
      <c r="C358" s="18"/>
      <c r="D358" s="13">
        <v>2.0</v>
      </c>
      <c r="E358" s="13">
        <v>202.0</v>
      </c>
      <c r="F358" s="13" t="s">
        <v>497</v>
      </c>
      <c r="G358" s="13" t="s">
        <v>409</v>
      </c>
      <c r="H358" s="13" t="s">
        <v>22</v>
      </c>
      <c r="I358" s="13" t="s">
        <v>498</v>
      </c>
      <c r="J358" s="13">
        <v>168.0</v>
      </c>
      <c r="K358" s="117" t="s">
        <v>60</v>
      </c>
      <c r="L358" s="118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6"/>
      <c r="C359" s="17"/>
      <c r="D359" s="18"/>
      <c r="E359" s="18"/>
      <c r="F359" s="13" t="s">
        <v>499</v>
      </c>
      <c r="G359" s="13" t="s">
        <v>500</v>
      </c>
      <c r="H359" s="13" t="s">
        <v>22</v>
      </c>
      <c r="I359" s="13" t="s">
        <v>501</v>
      </c>
      <c r="J359" s="13" t="s">
        <v>502</v>
      </c>
      <c r="K359" s="19"/>
      <c r="L359" s="118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6"/>
      <c r="C360" s="17"/>
      <c r="D360" s="18"/>
      <c r="E360" s="18"/>
      <c r="F360" s="13" t="s">
        <v>499</v>
      </c>
      <c r="G360" s="13" t="s">
        <v>500</v>
      </c>
      <c r="H360" s="13" t="s">
        <v>22</v>
      </c>
      <c r="I360" s="13" t="s">
        <v>503</v>
      </c>
      <c r="J360" s="13"/>
      <c r="K360" s="119"/>
      <c r="L360" s="118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6"/>
      <c r="C361" s="17"/>
      <c r="D361" s="18"/>
      <c r="E361" s="18"/>
      <c r="F361" s="13" t="s">
        <v>504</v>
      </c>
      <c r="G361" s="13" t="s">
        <v>505</v>
      </c>
      <c r="H361" s="17"/>
      <c r="I361" s="17"/>
      <c r="J361" s="17"/>
      <c r="K361" s="17"/>
      <c r="L361" s="3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6"/>
      <c r="C362" s="17"/>
      <c r="D362" s="17"/>
      <c r="E362" s="17"/>
      <c r="F362" s="14"/>
      <c r="G362" s="14"/>
      <c r="H362" s="13" t="s">
        <v>47</v>
      </c>
      <c r="I362" s="13" t="s">
        <v>506</v>
      </c>
      <c r="J362" s="17"/>
      <c r="K362" s="17"/>
      <c r="L362" s="3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6"/>
      <c r="C363" s="17"/>
      <c r="D363" s="17"/>
      <c r="E363" s="49"/>
      <c r="F363" s="95"/>
      <c r="G363" s="95"/>
      <c r="H363" s="13"/>
      <c r="I363" s="13"/>
      <c r="J363" s="17"/>
      <c r="K363" s="17"/>
      <c r="L363" s="3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25"/>
      <c r="C364" s="44"/>
      <c r="D364" s="13">
        <v>2.0</v>
      </c>
      <c r="E364" s="40">
        <v>203.0</v>
      </c>
      <c r="F364" s="13" t="s">
        <v>507</v>
      </c>
      <c r="G364" s="13" t="s">
        <v>400</v>
      </c>
      <c r="H364" s="17"/>
      <c r="I364" s="17"/>
      <c r="J364" s="17"/>
      <c r="K364" s="17"/>
      <c r="L364" s="3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6"/>
      <c r="C365" s="17"/>
      <c r="D365" s="18"/>
      <c r="E365" s="18"/>
      <c r="F365" s="13" t="s">
        <v>508</v>
      </c>
      <c r="G365" s="13" t="s">
        <v>509</v>
      </c>
      <c r="H365" s="13" t="s">
        <v>22</v>
      </c>
      <c r="I365" s="13" t="s">
        <v>510</v>
      </c>
      <c r="J365" s="17"/>
      <c r="K365" s="17"/>
      <c r="L365" s="3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6"/>
      <c r="C366" s="17"/>
      <c r="D366" s="17"/>
      <c r="E366" s="17"/>
      <c r="F366" s="13" t="s">
        <v>408</v>
      </c>
      <c r="G366" s="13" t="s">
        <v>400</v>
      </c>
      <c r="H366" s="13" t="s">
        <v>87</v>
      </c>
      <c r="I366" s="13" t="s">
        <v>511</v>
      </c>
      <c r="J366" s="17"/>
      <c r="K366" s="17"/>
      <c r="L366" s="3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6"/>
      <c r="C367" s="17"/>
      <c r="D367" s="18"/>
      <c r="E367" s="18"/>
      <c r="F367" s="13" t="s">
        <v>408</v>
      </c>
      <c r="G367" s="13" t="s">
        <v>400</v>
      </c>
      <c r="H367" s="13" t="s">
        <v>22</v>
      </c>
      <c r="I367" s="120" t="s">
        <v>512</v>
      </c>
      <c r="J367" s="17"/>
      <c r="K367" s="17"/>
      <c r="L367" s="3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6"/>
      <c r="C368" s="17"/>
      <c r="D368" s="17"/>
      <c r="E368" s="17"/>
      <c r="F368" s="13" t="s">
        <v>513</v>
      </c>
      <c r="G368" s="13" t="s">
        <v>423</v>
      </c>
      <c r="H368" s="13" t="s">
        <v>22</v>
      </c>
      <c r="I368" s="13" t="s">
        <v>514</v>
      </c>
      <c r="J368" s="13" t="s">
        <v>515</v>
      </c>
      <c r="K368" s="13" t="s">
        <v>516</v>
      </c>
      <c r="L368" s="3"/>
      <c r="M368" s="2" t="s">
        <v>517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6"/>
      <c r="C369" s="17"/>
      <c r="D369" s="17"/>
      <c r="E369" s="17"/>
      <c r="F369" s="13"/>
      <c r="G369" s="13"/>
      <c r="H369" s="13"/>
      <c r="I369" s="13"/>
      <c r="J369" s="17"/>
      <c r="K369" s="17"/>
      <c r="L369" s="3"/>
      <c r="M369" s="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25"/>
      <c r="C370" s="18"/>
      <c r="D370" s="13">
        <v>2.0</v>
      </c>
      <c r="E370" s="40">
        <v>204.0</v>
      </c>
      <c r="F370" s="13" t="s">
        <v>518</v>
      </c>
      <c r="G370" s="13" t="s">
        <v>519</v>
      </c>
      <c r="H370" s="17"/>
      <c r="I370" s="17"/>
      <c r="J370" s="17"/>
      <c r="K370" s="17"/>
      <c r="L370" s="3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6"/>
      <c r="C371" s="17"/>
      <c r="D371" s="18"/>
      <c r="E371" s="18"/>
      <c r="F371" s="13" t="s">
        <v>520</v>
      </c>
      <c r="G371" s="13" t="s">
        <v>519</v>
      </c>
      <c r="H371" s="17"/>
      <c r="I371" s="17"/>
      <c r="J371" s="13">
        <v>359.0</v>
      </c>
      <c r="K371" s="17"/>
      <c r="L371" s="3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6"/>
      <c r="C372" s="17"/>
      <c r="D372" s="18"/>
      <c r="E372" s="18"/>
      <c r="F372" s="13" t="s">
        <v>521</v>
      </c>
      <c r="G372" s="13" t="s">
        <v>519</v>
      </c>
      <c r="H372" s="17"/>
      <c r="I372" s="17"/>
      <c r="J372" s="17"/>
      <c r="K372" s="17"/>
      <c r="L372" s="3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6"/>
      <c r="C373" s="17"/>
      <c r="D373" s="18"/>
      <c r="E373" s="18"/>
      <c r="F373" s="13" t="s">
        <v>522</v>
      </c>
      <c r="G373" s="13" t="s">
        <v>519</v>
      </c>
      <c r="H373" s="17"/>
      <c r="I373" s="17"/>
      <c r="J373" s="17"/>
      <c r="K373" s="17"/>
      <c r="L373" s="3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6"/>
      <c r="C374" s="17"/>
      <c r="D374" s="18"/>
      <c r="E374" s="18"/>
      <c r="F374" s="13" t="s">
        <v>523</v>
      </c>
      <c r="G374" s="13" t="s">
        <v>519</v>
      </c>
      <c r="H374" s="17"/>
      <c r="I374" s="17"/>
      <c r="J374" s="17"/>
      <c r="K374" s="17"/>
      <c r="L374" s="3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6"/>
      <c r="C375" s="17"/>
      <c r="D375" s="17"/>
      <c r="E375" s="17"/>
      <c r="F375" s="17"/>
      <c r="G375" s="17"/>
      <c r="H375" s="17"/>
      <c r="I375" s="17"/>
      <c r="J375" s="17"/>
      <c r="K375" s="17"/>
      <c r="L375" s="3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81">
        <v>28.0</v>
      </c>
      <c r="C376" s="18"/>
      <c r="D376" s="13">
        <v>3.0</v>
      </c>
      <c r="E376" s="13">
        <v>301.0</v>
      </c>
      <c r="F376" s="13" t="s">
        <v>413</v>
      </c>
      <c r="G376" s="13" t="s">
        <v>524</v>
      </c>
      <c r="H376" s="121"/>
      <c r="I376" s="17"/>
      <c r="J376" s="17"/>
      <c r="K376" s="17"/>
      <c r="L376" s="3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6"/>
      <c r="C377" s="17"/>
      <c r="D377" s="18"/>
      <c r="E377" s="18"/>
      <c r="F377" s="13" t="s">
        <v>525</v>
      </c>
      <c r="G377" s="13" t="s">
        <v>526</v>
      </c>
      <c r="H377" s="122"/>
      <c r="I377" s="74"/>
      <c r="J377" s="13">
        <v>116.0</v>
      </c>
      <c r="K377" s="91">
        <v>3.0</v>
      </c>
      <c r="L377" s="73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6"/>
      <c r="C378" s="17"/>
      <c r="D378" s="17"/>
      <c r="E378" s="17"/>
      <c r="F378" s="17"/>
      <c r="G378" s="17"/>
      <c r="H378" s="17"/>
      <c r="I378" s="17"/>
      <c r="J378" s="17"/>
      <c r="K378" s="17"/>
      <c r="L378" s="3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25"/>
      <c r="C379" s="18"/>
      <c r="D379" s="13">
        <v>3.0</v>
      </c>
      <c r="E379" s="13">
        <v>302.0</v>
      </c>
      <c r="F379" s="13" t="s">
        <v>527</v>
      </c>
      <c r="G379" s="13" t="s">
        <v>528</v>
      </c>
      <c r="H379" s="13" t="s">
        <v>22</v>
      </c>
      <c r="I379" s="13" t="s">
        <v>529</v>
      </c>
      <c r="J379" s="17"/>
      <c r="K379" s="17"/>
      <c r="L379" s="3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6"/>
      <c r="C380" s="17"/>
      <c r="D380" s="18"/>
      <c r="E380" s="18"/>
      <c r="F380" s="13" t="s">
        <v>263</v>
      </c>
      <c r="G380" s="13" t="s">
        <v>530</v>
      </c>
      <c r="H380" s="13" t="s">
        <v>22</v>
      </c>
      <c r="I380" s="13" t="s">
        <v>531</v>
      </c>
      <c r="J380" s="13">
        <v>320.0</v>
      </c>
      <c r="K380" s="26">
        <v>3.0</v>
      </c>
      <c r="L380" s="27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6"/>
      <c r="C381" s="17"/>
      <c r="D381" s="17"/>
      <c r="E381" s="17"/>
      <c r="F381" s="17"/>
      <c r="G381" s="17"/>
      <c r="H381" s="17"/>
      <c r="I381" s="17"/>
      <c r="J381" s="17"/>
      <c r="K381" s="17"/>
      <c r="L381" s="3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25"/>
      <c r="C382" s="18"/>
      <c r="D382" s="13">
        <v>3.0</v>
      </c>
      <c r="E382" s="13">
        <v>303.0</v>
      </c>
      <c r="F382" s="13" t="s">
        <v>532</v>
      </c>
      <c r="G382" s="13" t="s">
        <v>533</v>
      </c>
      <c r="H382" s="13" t="s">
        <v>22</v>
      </c>
      <c r="I382" s="13" t="s">
        <v>251</v>
      </c>
      <c r="J382" s="13" t="s">
        <v>534</v>
      </c>
      <c r="K382" s="34" t="s">
        <v>535</v>
      </c>
      <c r="L382" s="3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6"/>
      <c r="C383" s="17"/>
      <c r="D383" s="18"/>
      <c r="E383" s="18"/>
      <c r="F383" s="13" t="s">
        <v>536</v>
      </c>
      <c r="G383" s="13" t="s">
        <v>533</v>
      </c>
      <c r="H383" s="18"/>
      <c r="I383" s="18"/>
      <c r="J383" s="13">
        <v>106.0</v>
      </c>
      <c r="K383" s="36"/>
      <c r="L383" s="3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6"/>
      <c r="C384" s="17"/>
      <c r="D384" s="18"/>
      <c r="E384" s="18"/>
      <c r="F384" s="13"/>
      <c r="G384" s="13"/>
      <c r="H384" s="18"/>
      <c r="I384" s="18"/>
      <c r="J384" s="13"/>
      <c r="K384" s="13"/>
      <c r="L384" s="6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6"/>
      <c r="C385" s="17"/>
      <c r="D385" s="18"/>
      <c r="E385" s="18"/>
      <c r="F385" s="13"/>
      <c r="G385" s="13"/>
      <c r="H385" s="18"/>
      <c r="I385" s="18"/>
      <c r="J385" s="13"/>
      <c r="K385" s="13"/>
      <c r="L385" s="6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25"/>
      <c r="C386" s="18"/>
      <c r="D386" s="13">
        <v>3.0</v>
      </c>
      <c r="E386" s="13">
        <v>304.0</v>
      </c>
      <c r="F386" s="13" t="s">
        <v>537</v>
      </c>
      <c r="G386" s="13" t="s">
        <v>451</v>
      </c>
      <c r="H386" s="13" t="s">
        <v>22</v>
      </c>
      <c r="I386" s="13" t="s">
        <v>538</v>
      </c>
      <c r="J386" s="13">
        <v>271.0</v>
      </c>
      <c r="K386" s="26">
        <v>3.0</v>
      </c>
      <c r="L386" s="27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6"/>
      <c r="C387" s="17"/>
      <c r="D387" s="18"/>
      <c r="E387" s="18"/>
      <c r="F387" s="13" t="s">
        <v>539</v>
      </c>
      <c r="G387" s="13" t="s">
        <v>451</v>
      </c>
      <c r="H387" s="13" t="s">
        <v>22</v>
      </c>
      <c r="I387" s="13" t="s">
        <v>540</v>
      </c>
      <c r="J387" s="13">
        <v>242.0</v>
      </c>
      <c r="K387" s="37">
        <v>6.0</v>
      </c>
      <c r="L387" s="27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6"/>
      <c r="C388" s="17"/>
      <c r="D388" s="18"/>
      <c r="E388" s="18"/>
      <c r="F388" s="13" t="s">
        <v>539</v>
      </c>
      <c r="G388" s="13" t="s">
        <v>451</v>
      </c>
      <c r="H388" s="13" t="s">
        <v>22</v>
      </c>
      <c r="I388" s="13" t="s">
        <v>541</v>
      </c>
      <c r="J388" s="13"/>
      <c r="K388" s="67"/>
      <c r="L388" s="27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6"/>
      <c r="C389" s="17"/>
      <c r="D389" s="18"/>
      <c r="E389" s="18"/>
      <c r="F389" s="13" t="s">
        <v>542</v>
      </c>
      <c r="G389" s="13" t="s">
        <v>543</v>
      </c>
      <c r="H389" s="17"/>
      <c r="I389" s="17"/>
      <c r="J389" s="13">
        <v>243.0</v>
      </c>
      <c r="K389" s="19"/>
      <c r="L389" s="27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6"/>
      <c r="C390" s="17"/>
      <c r="D390" s="18"/>
      <c r="E390" s="18"/>
      <c r="F390" s="13" t="s">
        <v>544</v>
      </c>
      <c r="G390" s="13" t="s">
        <v>451</v>
      </c>
      <c r="H390" s="17"/>
      <c r="I390" s="17"/>
      <c r="J390" s="17"/>
      <c r="K390" s="17"/>
      <c r="L390" s="3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6"/>
      <c r="C391" s="17"/>
      <c r="D391" s="18"/>
      <c r="E391" s="18"/>
      <c r="F391" s="13" t="s">
        <v>545</v>
      </c>
      <c r="G391" s="13" t="s">
        <v>451</v>
      </c>
      <c r="H391" s="13" t="s">
        <v>22</v>
      </c>
      <c r="I391" s="13" t="s">
        <v>546</v>
      </c>
      <c r="J391" s="17"/>
      <c r="K391" s="17"/>
      <c r="L391" s="3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6"/>
      <c r="C392" s="17"/>
      <c r="D392" s="17"/>
      <c r="E392" s="17"/>
      <c r="F392" s="17"/>
      <c r="G392" s="17"/>
      <c r="H392" s="17"/>
      <c r="I392" s="17"/>
      <c r="J392" s="17"/>
      <c r="K392" s="17"/>
      <c r="L392" s="3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81">
        <v>28.0</v>
      </c>
      <c r="C393" s="18"/>
      <c r="D393" s="13">
        <v>4.0</v>
      </c>
      <c r="E393" s="13">
        <v>401.0</v>
      </c>
      <c r="F393" s="13" t="s">
        <v>547</v>
      </c>
      <c r="G393" s="13" t="s">
        <v>548</v>
      </c>
      <c r="H393" s="13" t="s">
        <v>22</v>
      </c>
      <c r="I393" s="13" t="s">
        <v>549</v>
      </c>
      <c r="J393" s="17"/>
      <c r="K393" s="17"/>
      <c r="L393" s="3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6"/>
      <c r="C394" s="17"/>
      <c r="D394" s="18"/>
      <c r="E394" s="18"/>
      <c r="F394" s="13" t="s">
        <v>550</v>
      </c>
      <c r="G394" s="13" t="s">
        <v>551</v>
      </c>
      <c r="H394" s="17"/>
      <c r="I394" s="17"/>
      <c r="J394" s="13" t="s">
        <v>552</v>
      </c>
      <c r="K394" s="26">
        <v>3.0</v>
      </c>
      <c r="L394" s="27" t="s">
        <v>257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6"/>
      <c r="C395" s="17"/>
      <c r="D395" s="18"/>
      <c r="E395" s="18"/>
      <c r="F395" s="13" t="s">
        <v>553</v>
      </c>
      <c r="G395" s="13" t="s">
        <v>551</v>
      </c>
      <c r="H395" s="17"/>
      <c r="I395" s="17"/>
      <c r="J395" s="17"/>
      <c r="K395" s="17"/>
      <c r="L395" s="3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6"/>
      <c r="C396" s="17"/>
      <c r="D396" s="17"/>
      <c r="E396" s="17"/>
      <c r="F396" s="17"/>
      <c r="G396" s="17"/>
      <c r="H396" s="17"/>
      <c r="I396" s="17"/>
      <c r="J396" s="17"/>
      <c r="K396" s="17"/>
      <c r="L396" s="3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25"/>
      <c r="C397" s="18"/>
      <c r="D397" s="13">
        <v>4.0</v>
      </c>
      <c r="E397" s="40">
        <v>402.0</v>
      </c>
      <c r="F397" s="13" t="s">
        <v>554</v>
      </c>
      <c r="G397" s="13" t="s">
        <v>555</v>
      </c>
      <c r="H397" s="17"/>
      <c r="I397" s="17"/>
      <c r="J397" s="13">
        <v>238.0</v>
      </c>
      <c r="K397" s="13" t="s">
        <v>62</v>
      </c>
      <c r="L397" s="6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6"/>
      <c r="C398" s="17"/>
      <c r="D398" s="18"/>
      <c r="E398" s="18"/>
      <c r="F398" s="13" t="s">
        <v>435</v>
      </c>
      <c r="G398" s="13" t="s">
        <v>556</v>
      </c>
      <c r="H398" s="13" t="s">
        <v>22</v>
      </c>
      <c r="I398" s="13" t="s">
        <v>557</v>
      </c>
      <c r="J398" s="17"/>
      <c r="K398" s="17"/>
      <c r="L398" s="3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6"/>
      <c r="C399" s="17"/>
      <c r="D399" s="18"/>
      <c r="E399" s="18"/>
      <c r="F399" s="13" t="s">
        <v>558</v>
      </c>
      <c r="G399" s="13" t="s">
        <v>559</v>
      </c>
      <c r="H399" s="17"/>
      <c r="I399" s="17"/>
      <c r="J399" s="17"/>
      <c r="K399" s="17"/>
      <c r="L399" s="3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6"/>
      <c r="C400" s="17"/>
      <c r="D400" s="18"/>
      <c r="E400" s="18"/>
      <c r="F400" s="13" t="s">
        <v>560</v>
      </c>
      <c r="G400" s="13" t="s">
        <v>561</v>
      </c>
      <c r="H400" s="17"/>
      <c r="I400" s="17"/>
      <c r="J400" s="17"/>
      <c r="K400" s="17"/>
      <c r="L400" s="3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6"/>
      <c r="C401" s="17"/>
      <c r="D401" s="17"/>
      <c r="E401" s="17"/>
      <c r="F401" s="17"/>
      <c r="G401" s="17"/>
      <c r="H401" s="17"/>
      <c r="I401" s="17"/>
      <c r="J401" s="17"/>
      <c r="K401" s="17"/>
      <c r="L401" s="3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25"/>
      <c r="C402" s="18"/>
      <c r="D402" s="13">
        <v>4.0</v>
      </c>
      <c r="E402" s="13">
        <v>403.0</v>
      </c>
      <c r="F402" s="13" t="s">
        <v>63</v>
      </c>
      <c r="G402" s="13" t="s">
        <v>562</v>
      </c>
      <c r="H402" s="17"/>
      <c r="I402" s="17"/>
      <c r="J402" s="13" t="s">
        <v>563</v>
      </c>
      <c r="K402" s="13" t="s">
        <v>564</v>
      </c>
      <c r="L402" s="6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6"/>
      <c r="C403" s="17"/>
      <c r="D403" s="18"/>
      <c r="E403" s="18"/>
      <c r="F403" s="13" t="s">
        <v>565</v>
      </c>
      <c r="G403" s="13" t="s">
        <v>418</v>
      </c>
      <c r="H403" s="17"/>
      <c r="I403" s="17"/>
      <c r="J403" s="17"/>
      <c r="K403" s="17"/>
      <c r="L403" s="3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6"/>
      <c r="C404" s="17"/>
      <c r="D404" s="18"/>
      <c r="E404" s="18"/>
      <c r="F404" s="13" t="s">
        <v>566</v>
      </c>
      <c r="G404" s="13" t="s">
        <v>562</v>
      </c>
      <c r="H404" s="13" t="s">
        <v>22</v>
      </c>
      <c r="I404" s="13" t="s">
        <v>567</v>
      </c>
      <c r="J404" s="17"/>
      <c r="K404" s="17"/>
      <c r="L404" s="3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6"/>
      <c r="C405" s="17"/>
      <c r="D405" s="18"/>
      <c r="E405" s="18"/>
      <c r="F405" s="13" t="s">
        <v>568</v>
      </c>
      <c r="G405" s="13" t="s">
        <v>562</v>
      </c>
      <c r="H405" s="17"/>
      <c r="I405" s="17"/>
      <c r="J405" s="17"/>
      <c r="K405" s="17"/>
      <c r="L405" s="3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6"/>
      <c r="C406" s="17"/>
      <c r="D406" s="18"/>
      <c r="E406" s="18"/>
      <c r="F406" s="13" t="s">
        <v>569</v>
      </c>
      <c r="G406" s="13" t="s">
        <v>562</v>
      </c>
      <c r="H406" s="17"/>
      <c r="I406" s="17"/>
      <c r="J406" s="17"/>
      <c r="K406" s="17"/>
      <c r="L406" s="3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6"/>
      <c r="C407" s="17"/>
      <c r="D407" s="17"/>
      <c r="E407" s="17"/>
      <c r="F407" s="17"/>
      <c r="G407" s="17"/>
      <c r="H407" s="17"/>
      <c r="I407" s="17"/>
      <c r="J407" s="17"/>
      <c r="K407" s="17"/>
      <c r="L407" s="3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25"/>
      <c r="C408" s="18"/>
      <c r="D408" s="13">
        <v>4.0</v>
      </c>
      <c r="E408" s="13">
        <v>404.0</v>
      </c>
      <c r="F408" s="13" t="s">
        <v>570</v>
      </c>
      <c r="G408" s="13" t="s">
        <v>36</v>
      </c>
      <c r="H408" s="13" t="s">
        <v>22</v>
      </c>
      <c r="I408" s="13" t="s">
        <v>571</v>
      </c>
      <c r="J408" s="13">
        <v>251.0</v>
      </c>
      <c r="K408" s="37">
        <v>9.0</v>
      </c>
      <c r="L408" s="27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79"/>
      <c r="C409" s="52"/>
      <c r="D409" s="52"/>
      <c r="E409" s="17"/>
      <c r="F409" s="13" t="s">
        <v>572</v>
      </c>
      <c r="G409" s="13" t="s">
        <v>573</v>
      </c>
      <c r="H409" s="17"/>
      <c r="I409" s="17"/>
      <c r="J409" s="13">
        <v>252.0</v>
      </c>
      <c r="K409" s="67"/>
      <c r="L409" s="27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50"/>
      <c r="C410" s="50"/>
      <c r="D410" s="50"/>
      <c r="E410" s="17"/>
      <c r="F410" s="13" t="s">
        <v>574</v>
      </c>
      <c r="G410" s="13" t="s">
        <v>36</v>
      </c>
      <c r="H410" s="17"/>
      <c r="I410" s="17"/>
      <c r="J410" s="13">
        <v>268.0</v>
      </c>
      <c r="K410" s="19"/>
      <c r="L410" s="27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50"/>
      <c r="C411" s="50"/>
      <c r="D411" s="50"/>
      <c r="E411" s="17"/>
      <c r="F411" s="17"/>
      <c r="G411" s="17"/>
      <c r="H411" s="17"/>
      <c r="I411" s="17"/>
      <c r="J411" s="17"/>
      <c r="K411" s="17"/>
      <c r="L411" s="3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38">
        <v>29.0</v>
      </c>
      <c r="C412" s="39">
        <v>1.0</v>
      </c>
      <c r="D412" s="13" t="s">
        <v>19</v>
      </c>
      <c r="E412" s="40">
        <v>1.0</v>
      </c>
      <c r="F412" s="13" t="s">
        <v>575</v>
      </c>
      <c r="G412" s="13" t="s">
        <v>451</v>
      </c>
      <c r="H412" s="13" t="s">
        <v>22</v>
      </c>
      <c r="I412" s="13" t="s">
        <v>576</v>
      </c>
      <c r="J412" s="13">
        <v>349.0</v>
      </c>
      <c r="K412" s="13" t="s">
        <v>577</v>
      </c>
      <c r="L412" s="6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6"/>
      <c r="C413" s="17"/>
      <c r="D413" s="18"/>
      <c r="E413" s="18"/>
      <c r="F413" s="13" t="s">
        <v>417</v>
      </c>
      <c r="G413" s="13" t="s">
        <v>451</v>
      </c>
      <c r="H413" s="17"/>
      <c r="I413" s="17"/>
      <c r="J413" s="13">
        <v>361.0</v>
      </c>
      <c r="K413" s="13" t="s">
        <v>121</v>
      </c>
      <c r="L413" s="6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6"/>
      <c r="C414" s="33"/>
      <c r="D414" s="18"/>
      <c r="E414" s="18"/>
      <c r="F414" s="13" t="s">
        <v>44</v>
      </c>
      <c r="G414" s="13" t="s">
        <v>451</v>
      </c>
      <c r="H414" s="13"/>
      <c r="I414" s="13"/>
      <c r="J414" s="17"/>
      <c r="K414" s="17"/>
      <c r="L414" s="3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6"/>
      <c r="C415" s="17"/>
      <c r="D415" s="18"/>
      <c r="E415" s="18"/>
      <c r="F415" s="13" t="s">
        <v>240</v>
      </c>
      <c r="G415" s="13" t="s">
        <v>451</v>
      </c>
      <c r="H415" s="17"/>
      <c r="I415" s="17"/>
      <c r="J415" s="17"/>
      <c r="K415" s="17"/>
      <c r="L415" s="3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6"/>
      <c r="C416" s="17"/>
      <c r="D416" s="17"/>
      <c r="E416" s="17"/>
      <c r="F416" s="17"/>
      <c r="G416" s="17"/>
      <c r="H416" s="17"/>
      <c r="I416" s="17"/>
      <c r="J416" s="17"/>
      <c r="K416" s="17"/>
      <c r="L416" s="3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25"/>
      <c r="C417" s="44"/>
      <c r="D417" s="13" t="s">
        <v>19</v>
      </c>
      <c r="E417" s="13">
        <v>2.0</v>
      </c>
      <c r="F417" s="13" t="s">
        <v>44</v>
      </c>
      <c r="G417" s="13" t="s">
        <v>578</v>
      </c>
      <c r="H417" s="13" t="s">
        <v>87</v>
      </c>
      <c r="I417" s="13" t="s">
        <v>579</v>
      </c>
      <c r="J417" s="13">
        <v>200.0</v>
      </c>
      <c r="K417" s="13" t="s">
        <v>60</v>
      </c>
      <c r="L417" s="6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6"/>
      <c r="C418" s="17"/>
      <c r="D418" s="18"/>
      <c r="E418" s="18"/>
      <c r="F418" s="13" t="s">
        <v>580</v>
      </c>
      <c r="G418" s="13" t="s">
        <v>581</v>
      </c>
      <c r="H418" s="17"/>
      <c r="I418" s="17"/>
      <c r="J418" s="13" t="s">
        <v>582</v>
      </c>
      <c r="K418" s="13" t="s">
        <v>583</v>
      </c>
      <c r="L418" s="6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6"/>
      <c r="C419" s="17"/>
      <c r="D419" s="18"/>
      <c r="E419" s="18"/>
      <c r="F419" s="13" t="s">
        <v>63</v>
      </c>
      <c r="G419" s="13" t="s">
        <v>239</v>
      </c>
      <c r="H419" s="13" t="s">
        <v>47</v>
      </c>
      <c r="I419" s="26" t="s">
        <v>584</v>
      </c>
      <c r="J419" s="13">
        <v>10.0</v>
      </c>
      <c r="K419" s="91">
        <v>3.0</v>
      </c>
      <c r="L419" s="73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6"/>
      <c r="C420" s="17"/>
      <c r="D420" s="17"/>
      <c r="E420" s="17"/>
      <c r="F420" s="17"/>
      <c r="G420" s="17"/>
      <c r="H420" s="17"/>
      <c r="I420" s="17"/>
      <c r="J420" s="17"/>
      <c r="K420" s="17"/>
      <c r="L420" s="3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25"/>
      <c r="C421" s="18"/>
      <c r="D421" s="13" t="s">
        <v>19</v>
      </c>
      <c r="E421" s="40">
        <v>3.0</v>
      </c>
      <c r="F421" s="13" t="s">
        <v>585</v>
      </c>
      <c r="G421" s="13" t="s">
        <v>586</v>
      </c>
      <c r="H421" s="13" t="s">
        <v>22</v>
      </c>
      <c r="I421" s="13" t="s">
        <v>587</v>
      </c>
      <c r="J421" s="13">
        <v>346.0</v>
      </c>
      <c r="K421" s="13">
        <v>189.0</v>
      </c>
      <c r="L421" s="6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6"/>
      <c r="C422" s="17"/>
      <c r="D422" s="17"/>
      <c r="E422" s="17"/>
      <c r="F422" s="13" t="s">
        <v>588</v>
      </c>
      <c r="G422" s="13" t="s">
        <v>589</v>
      </c>
      <c r="H422" s="17"/>
      <c r="I422" s="17"/>
      <c r="J422" s="13">
        <v>347.0</v>
      </c>
      <c r="K422" s="13">
        <v>189.0</v>
      </c>
      <c r="L422" s="6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6"/>
      <c r="C423" s="17"/>
      <c r="D423" s="17"/>
      <c r="E423" s="17"/>
      <c r="F423" s="13"/>
      <c r="G423" s="13"/>
      <c r="H423" s="17"/>
      <c r="I423" s="17"/>
      <c r="J423" s="17"/>
      <c r="K423" s="17"/>
      <c r="L423" s="3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25"/>
      <c r="C424" s="18"/>
      <c r="D424" s="13" t="s">
        <v>19</v>
      </c>
      <c r="E424" s="13">
        <v>4.0</v>
      </c>
      <c r="F424" s="13" t="s">
        <v>590</v>
      </c>
      <c r="G424" s="13" t="s">
        <v>591</v>
      </c>
      <c r="H424" s="13" t="s">
        <v>47</v>
      </c>
      <c r="I424" s="13" t="s">
        <v>592</v>
      </c>
      <c r="J424" s="13">
        <v>235.0</v>
      </c>
      <c r="K424" s="17"/>
      <c r="L424" s="3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6"/>
      <c r="C425" s="17"/>
      <c r="D425" s="18"/>
      <c r="E425" s="18"/>
      <c r="F425" s="13" t="s">
        <v>593</v>
      </c>
      <c r="G425" s="13" t="s">
        <v>594</v>
      </c>
      <c r="H425" s="13" t="s">
        <v>22</v>
      </c>
      <c r="I425" s="13" t="s">
        <v>595</v>
      </c>
      <c r="J425" s="13"/>
      <c r="K425" s="13"/>
      <c r="L425" s="6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6"/>
      <c r="C426" s="17"/>
      <c r="D426" s="18"/>
      <c r="E426" s="18"/>
      <c r="F426" s="13" t="s">
        <v>596</v>
      </c>
      <c r="G426" s="13" t="s">
        <v>591</v>
      </c>
      <c r="H426" s="17"/>
      <c r="I426" s="17"/>
      <c r="J426" s="13">
        <v>236.0</v>
      </c>
      <c r="K426" s="13">
        <v>70406.0</v>
      </c>
      <c r="L426" s="6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6"/>
      <c r="C427" s="17"/>
      <c r="D427" s="18"/>
      <c r="E427" s="18"/>
      <c r="F427" s="13" t="s">
        <v>597</v>
      </c>
      <c r="G427" s="13" t="s">
        <v>591</v>
      </c>
      <c r="H427" s="17"/>
      <c r="I427" s="17"/>
      <c r="J427" s="13">
        <v>317.0</v>
      </c>
      <c r="K427" s="26">
        <v>3.0</v>
      </c>
      <c r="L427" s="27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6"/>
      <c r="C428" s="17"/>
      <c r="D428" s="18"/>
      <c r="E428" s="18"/>
      <c r="F428" s="13"/>
      <c r="G428" s="13"/>
      <c r="H428" s="17"/>
      <c r="I428" s="17"/>
      <c r="J428" s="17"/>
      <c r="K428" s="13"/>
      <c r="L428" s="6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6"/>
      <c r="C429" s="17"/>
      <c r="D429" s="17"/>
      <c r="E429" s="17"/>
      <c r="F429" s="17"/>
      <c r="G429" s="17"/>
      <c r="H429" s="17"/>
      <c r="I429" s="17"/>
      <c r="J429" s="17"/>
      <c r="K429" s="17"/>
      <c r="L429" s="3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25"/>
      <c r="C430" s="18"/>
      <c r="D430" s="13" t="s">
        <v>19</v>
      </c>
      <c r="E430" s="40">
        <v>5.0</v>
      </c>
      <c r="F430" s="13" t="s">
        <v>598</v>
      </c>
      <c r="G430" s="13" t="s">
        <v>188</v>
      </c>
      <c r="H430" s="17"/>
      <c r="I430" s="17"/>
      <c r="J430" s="13" t="s">
        <v>599</v>
      </c>
      <c r="K430" s="17"/>
      <c r="L430" s="3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6"/>
      <c r="C431" s="99"/>
      <c r="D431" s="18"/>
      <c r="E431" s="18"/>
      <c r="F431" s="13" t="s">
        <v>600</v>
      </c>
      <c r="G431" s="13" t="s">
        <v>188</v>
      </c>
      <c r="H431" s="17"/>
      <c r="I431" s="17"/>
      <c r="J431" s="13">
        <v>390.0</v>
      </c>
      <c r="K431" s="17"/>
      <c r="L431" s="3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98"/>
      <c r="C432" s="17"/>
      <c r="D432" s="18"/>
      <c r="E432" s="18"/>
      <c r="F432" s="13" t="s">
        <v>601</v>
      </c>
      <c r="G432" s="13" t="s">
        <v>188</v>
      </c>
      <c r="H432" s="17"/>
      <c r="I432" s="17"/>
      <c r="J432" s="13">
        <v>391.0</v>
      </c>
      <c r="K432" s="17"/>
      <c r="L432" s="3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6"/>
      <c r="C433" s="17"/>
      <c r="D433" s="18"/>
      <c r="E433" s="18"/>
      <c r="F433" s="13"/>
      <c r="G433" s="13"/>
      <c r="H433" s="17"/>
      <c r="I433" s="17"/>
      <c r="J433" s="13"/>
      <c r="K433" s="17"/>
      <c r="L433" s="3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6"/>
      <c r="C434" s="17"/>
      <c r="D434" s="18"/>
      <c r="E434" s="18"/>
      <c r="F434" s="13" t="s">
        <v>602</v>
      </c>
      <c r="G434" s="13" t="s">
        <v>188</v>
      </c>
      <c r="H434" s="17"/>
      <c r="I434" s="17"/>
      <c r="J434" s="13"/>
      <c r="K434" s="17"/>
      <c r="L434" s="3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6"/>
      <c r="C435" s="17"/>
      <c r="D435" s="17"/>
      <c r="E435" s="17"/>
      <c r="F435" s="17"/>
      <c r="G435" s="17"/>
      <c r="H435" s="17"/>
      <c r="I435" s="17"/>
      <c r="J435" s="17"/>
      <c r="K435" s="17"/>
      <c r="L435" s="3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38">
        <v>29.0</v>
      </c>
      <c r="C436" s="39">
        <v>1.0</v>
      </c>
      <c r="D436" s="13">
        <v>1.0</v>
      </c>
      <c r="E436" s="13">
        <v>101.0</v>
      </c>
      <c r="F436" s="13" t="s">
        <v>603</v>
      </c>
      <c r="G436" s="13" t="s">
        <v>604</v>
      </c>
      <c r="H436" s="13"/>
      <c r="I436" s="26"/>
      <c r="J436" s="13">
        <v>11.0</v>
      </c>
      <c r="K436" s="91">
        <v>3.0</v>
      </c>
      <c r="L436" s="73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38"/>
      <c r="C437" s="39"/>
      <c r="D437" s="13"/>
      <c r="E437" s="13"/>
      <c r="F437" s="13" t="s">
        <v>605</v>
      </c>
      <c r="G437" s="13" t="s">
        <v>604</v>
      </c>
      <c r="H437" s="13" t="s">
        <v>22</v>
      </c>
      <c r="I437" s="26" t="s">
        <v>606</v>
      </c>
      <c r="J437" s="13"/>
      <c r="K437" s="123"/>
      <c r="L437" s="73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6"/>
      <c r="C438" s="17"/>
      <c r="D438" s="18"/>
      <c r="E438" s="18"/>
      <c r="F438" s="13" t="s">
        <v>607</v>
      </c>
      <c r="G438" s="13" t="s">
        <v>481</v>
      </c>
      <c r="H438" s="17"/>
      <c r="I438" s="17"/>
      <c r="J438" s="17"/>
      <c r="K438" s="17"/>
      <c r="L438" s="3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6"/>
      <c r="C439" s="17"/>
      <c r="D439" s="17"/>
      <c r="E439" s="17"/>
      <c r="F439" s="17"/>
      <c r="G439" s="17"/>
      <c r="H439" s="17"/>
      <c r="I439" s="17"/>
      <c r="J439" s="17"/>
      <c r="K439" s="17"/>
      <c r="L439" s="3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25"/>
      <c r="C440" s="18"/>
      <c r="D440" s="13">
        <v>1.0</v>
      </c>
      <c r="E440" s="40">
        <v>102.0</v>
      </c>
      <c r="F440" s="13" t="s">
        <v>608</v>
      </c>
      <c r="G440" s="13" t="s">
        <v>609</v>
      </c>
      <c r="H440" s="17"/>
      <c r="I440" s="17"/>
      <c r="J440" s="13">
        <v>249.0</v>
      </c>
      <c r="K440" s="26">
        <v>3.0</v>
      </c>
      <c r="L440" s="27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6"/>
      <c r="C441" s="17"/>
      <c r="D441" s="18"/>
      <c r="E441" s="18"/>
      <c r="F441" s="13" t="s">
        <v>610</v>
      </c>
      <c r="G441" s="13" t="s">
        <v>491</v>
      </c>
      <c r="H441" s="17"/>
      <c r="I441" s="17"/>
      <c r="J441" s="13">
        <v>250.0</v>
      </c>
      <c r="K441" s="13" t="s">
        <v>611</v>
      </c>
      <c r="L441" s="6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6"/>
      <c r="C442" s="17"/>
      <c r="D442" s="17"/>
      <c r="E442" s="18"/>
      <c r="F442" s="17"/>
      <c r="G442" s="13"/>
      <c r="H442" s="17"/>
      <c r="I442" s="17"/>
      <c r="J442" s="17"/>
      <c r="K442" s="17"/>
      <c r="L442" s="3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6"/>
      <c r="C443" s="17"/>
      <c r="D443" s="17"/>
      <c r="E443" s="17"/>
      <c r="F443" s="17"/>
      <c r="G443" s="17"/>
      <c r="H443" s="17"/>
      <c r="I443" s="17"/>
      <c r="J443" s="17"/>
      <c r="K443" s="17"/>
      <c r="L443" s="3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25"/>
      <c r="C444" s="18"/>
      <c r="D444" s="13">
        <v>1.0</v>
      </c>
      <c r="E444" s="40">
        <v>103.0</v>
      </c>
      <c r="F444" s="13" t="s">
        <v>612</v>
      </c>
      <c r="G444" s="13" t="s">
        <v>409</v>
      </c>
      <c r="H444" s="17"/>
      <c r="I444" s="17"/>
      <c r="J444" s="17"/>
      <c r="K444" s="17"/>
      <c r="L444" s="3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6"/>
      <c r="C445" s="17"/>
      <c r="D445" s="18"/>
      <c r="E445" s="18"/>
      <c r="F445" s="13" t="s">
        <v>613</v>
      </c>
      <c r="G445" s="13" t="s">
        <v>409</v>
      </c>
      <c r="H445" s="17"/>
      <c r="I445" s="17"/>
      <c r="J445" s="17"/>
      <c r="K445" s="17"/>
      <c r="L445" s="3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6"/>
      <c r="C446" s="17"/>
      <c r="D446" s="17"/>
      <c r="E446" s="17"/>
      <c r="F446" s="17"/>
      <c r="G446" s="17"/>
      <c r="H446" s="17"/>
      <c r="I446" s="17"/>
      <c r="J446" s="17"/>
      <c r="K446" s="17"/>
      <c r="L446" s="3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25"/>
      <c r="C447" s="18"/>
      <c r="D447" s="13">
        <v>1.0</v>
      </c>
      <c r="E447" s="40">
        <v>104.0</v>
      </c>
      <c r="F447" s="13" t="s">
        <v>366</v>
      </c>
      <c r="G447" s="13" t="s">
        <v>170</v>
      </c>
      <c r="H447" s="17"/>
      <c r="I447" s="17"/>
      <c r="J447" s="17"/>
      <c r="K447" s="17"/>
      <c r="L447" s="3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6"/>
      <c r="C448" s="17"/>
      <c r="D448" s="18"/>
      <c r="E448" s="18"/>
      <c r="F448" s="13" t="s">
        <v>614</v>
      </c>
      <c r="G448" s="13" t="s">
        <v>170</v>
      </c>
      <c r="H448" s="13" t="s">
        <v>47</v>
      </c>
      <c r="I448" s="13" t="s">
        <v>615</v>
      </c>
      <c r="J448" s="17"/>
      <c r="K448" s="17"/>
      <c r="L448" s="3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6"/>
      <c r="C449" s="17"/>
      <c r="D449" s="17"/>
      <c r="E449" s="18"/>
      <c r="F449" s="13" t="s">
        <v>616</v>
      </c>
      <c r="G449" s="13" t="s">
        <v>170</v>
      </c>
      <c r="H449" s="17"/>
      <c r="I449" s="17"/>
      <c r="J449" s="17"/>
      <c r="K449" s="17"/>
      <c r="L449" s="3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6"/>
      <c r="C450" s="17"/>
      <c r="D450" s="17"/>
      <c r="E450" s="17"/>
      <c r="F450" s="17"/>
      <c r="G450" s="17"/>
      <c r="H450" s="17"/>
      <c r="I450" s="17"/>
      <c r="J450" s="17"/>
      <c r="K450" s="17"/>
      <c r="L450" s="3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25"/>
      <c r="C451" s="18"/>
      <c r="D451" s="13">
        <v>1.0</v>
      </c>
      <c r="E451" s="40">
        <v>105.0</v>
      </c>
      <c r="F451" s="13" t="s">
        <v>617</v>
      </c>
      <c r="G451" s="13" t="s">
        <v>618</v>
      </c>
      <c r="H451" s="17"/>
      <c r="I451" s="17"/>
      <c r="J451" s="13">
        <v>279.0</v>
      </c>
      <c r="K451" s="13" t="s">
        <v>62</v>
      </c>
      <c r="L451" s="6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6"/>
      <c r="C452" s="17"/>
      <c r="D452" s="18"/>
      <c r="E452" s="18"/>
      <c r="F452" s="13" t="s">
        <v>619</v>
      </c>
      <c r="G452" s="13" t="s">
        <v>618</v>
      </c>
      <c r="H452" s="17"/>
      <c r="I452" s="17"/>
      <c r="J452" s="13">
        <v>280.0</v>
      </c>
      <c r="K452" s="13" t="s">
        <v>62</v>
      </c>
      <c r="L452" s="6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6"/>
      <c r="C453" s="33"/>
      <c r="D453" s="18"/>
      <c r="E453" s="18"/>
      <c r="F453" s="13" t="s">
        <v>620</v>
      </c>
      <c r="G453" s="13" t="s">
        <v>618</v>
      </c>
      <c r="H453" s="13"/>
      <c r="I453" s="13"/>
      <c r="J453" s="17"/>
      <c r="K453" s="17"/>
      <c r="L453" s="3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6"/>
      <c r="C454" s="17"/>
      <c r="D454" s="18"/>
      <c r="E454" s="17"/>
      <c r="F454" s="13" t="s">
        <v>621</v>
      </c>
      <c r="G454" s="13" t="s">
        <v>618</v>
      </c>
      <c r="H454" s="13" t="s">
        <v>22</v>
      </c>
      <c r="I454" s="13" t="s">
        <v>622</v>
      </c>
      <c r="J454" s="17"/>
      <c r="K454" s="17"/>
      <c r="L454" s="3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6"/>
      <c r="C455" s="17"/>
      <c r="D455" s="18"/>
      <c r="E455" s="17"/>
      <c r="F455" s="13" t="s">
        <v>623</v>
      </c>
      <c r="G455" s="17"/>
      <c r="H455" s="17"/>
      <c r="I455" s="17"/>
      <c r="J455" s="17"/>
      <c r="K455" s="17"/>
      <c r="L455" s="3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6"/>
      <c r="C456" s="17"/>
      <c r="D456" s="17"/>
      <c r="E456" s="17"/>
      <c r="F456" s="17"/>
      <c r="G456" s="17"/>
      <c r="H456" s="17"/>
      <c r="I456" s="17"/>
      <c r="J456" s="17"/>
      <c r="K456" s="17"/>
      <c r="L456" s="3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38">
        <v>29.0</v>
      </c>
      <c r="C457" s="39">
        <v>1.0</v>
      </c>
      <c r="D457" s="13">
        <v>2.0</v>
      </c>
      <c r="E457" s="40">
        <v>201.0</v>
      </c>
      <c r="F457" s="13" t="s">
        <v>105</v>
      </c>
      <c r="G457" s="13" t="s">
        <v>624</v>
      </c>
      <c r="H457" s="17"/>
      <c r="I457" s="17"/>
      <c r="J457" s="13" t="s">
        <v>625</v>
      </c>
      <c r="K457" s="13" t="s">
        <v>56</v>
      </c>
      <c r="L457" s="6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6"/>
      <c r="C458" s="17"/>
      <c r="D458" s="17"/>
      <c r="E458" s="17"/>
      <c r="F458" s="17"/>
      <c r="G458" s="17"/>
      <c r="H458" s="17"/>
      <c r="I458" s="17"/>
      <c r="J458" s="17"/>
      <c r="K458" s="17"/>
      <c r="L458" s="3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25"/>
      <c r="C459" s="18"/>
      <c r="D459" s="13">
        <v>2.0</v>
      </c>
      <c r="E459" s="40">
        <v>202.0</v>
      </c>
      <c r="F459" s="13" t="s">
        <v>626</v>
      </c>
      <c r="G459" s="13" t="s">
        <v>627</v>
      </c>
      <c r="H459" s="17"/>
      <c r="I459" s="17"/>
      <c r="J459" s="17"/>
      <c r="K459" s="17"/>
      <c r="L459" s="3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6"/>
      <c r="C460" s="17"/>
      <c r="D460" s="17"/>
      <c r="E460" s="17"/>
      <c r="F460" s="13"/>
      <c r="G460" s="17"/>
      <c r="H460" s="17"/>
      <c r="I460" s="13"/>
      <c r="J460" s="17"/>
      <c r="K460" s="17"/>
      <c r="L460" s="3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6"/>
      <c r="C461" s="17"/>
      <c r="D461" s="17"/>
      <c r="E461" s="17"/>
      <c r="F461" s="17"/>
      <c r="G461" s="17"/>
      <c r="H461" s="17"/>
      <c r="I461" s="17"/>
      <c r="J461" s="17"/>
      <c r="K461" s="17"/>
      <c r="L461" s="3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25"/>
      <c r="C462" s="18"/>
      <c r="D462" s="13">
        <v>2.0</v>
      </c>
      <c r="E462" s="40">
        <v>203.0</v>
      </c>
      <c r="F462" s="13" t="s">
        <v>628</v>
      </c>
      <c r="G462" s="13" t="s">
        <v>629</v>
      </c>
      <c r="H462" s="13" t="s">
        <v>22</v>
      </c>
      <c r="I462" s="13" t="s">
        <v>630</v>
      </c>
      <c r="J462" s="13">
        <v>245.0</v>
      </c>
      <c r="K462" s="13" t="s">
        <v>62</v>
      </c>
      <c r="L462" s="6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6"/>
      <c r="C463" s="17"/>
      <c r="D463" s="18"/>
      <c r="E463" s="18"/>
      <c r="F463" s="13" t="s">
        <v>628</v>
      </c>
      <c r="G463" s="13" t="s">
        <v>629</v>
      </c>
      <c r="H463" s="17"/>
      <c r="I463" s="17"/>
      <c r="J463" s="13">
        <v>246.0</v>
      </c>
      <c r="K463" s="26">
        <v>3.0</v>
      </c>
      <c r="L463" s="27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6"/>
      <c r="C464" s="17"/>
      <c r="D464" s="18"/>
      <c r="E464" s="18"/>
      <c r="F464" s="13" t="s">
        <v>631</v>
      </c>
      <c r="G464" s="13" t="s">
        <v>632</v>
      </c>
      <c r="H464" s="17"/>
      <c r="I464" s="17"/>
      <c r="J464" s="17"/>
      <c r="K464" s="17"/>
      <c r="L464" s="3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6"/>
      <c r="C465" s="17"/>
      <c r="D465" s="17"/>
      <c r="E465" s="17"/>
      <c r="F465" s="17"/>
      <c r="G465" s="17"/>
      <c r="H465" s="17"/>
      <c r="I465" s="17"/>
      <c r="J465" s="17"/>
      <c r="K465" s="17"/>
      <c r="L465" s="3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25"/>
      <c r="C466" s="18"/>
      <c r="D466" s="13">
        <v>2.0</v>
      </c>
      <c r="E466" s="40">
        <v>204.0</v>
      </c>
      <c r="F466" s="13" t="s">
        <v>633</v>
      </c>
      <c r="G466" s="13" t="s">
        <v>634</v>
      </c>
      <c r="H466" s="17"/>
      <c r="I466" s="17"/>
      <c r="J466" s="17"/>
      <c r="K466" s="17"/>
      <c r="L466" s="3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6"/>
      <c r="C467" s="17"/>
      <c r="D467" s="18"/>
      <c r="E467" s="18"/>
      <c r="F467" s="13" t="s">
        <v>635</v>
      </c>
      <c r="G467" s="13" t="s">
        <v>634</v>
      </c>
      <c r="H467" s="17"/>
      <c r="I467" s="17"/>
      <c r="J467" s="17"/>
      <c r="K467" s="17"/>
      <c r="L467" s="3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6"/>
      <c r="C468" s="17"/>
      <c r="D468" s="17"/>
      <c r="E468" s="17"/>
      <c r="F468" s="17"/>
      <c r="G468" s="17"/>
      <c r="H468" s="17"/>
      <c r="I468" s="17"/>
      <c r="J468" s="17"/>
      <c r="K468" s="17"/>
      <c r="L468" s="3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25"/>
      <c r="C469" s="18"/>
      <c r="D469" s="13">
        <v>2.0</v>
      </c>
      <c r="E469" s="40">
        <v>205.0</v>
      </c>
      <c r="F469" s="13" t="s">
        <v>636</v>
      </c>
      <c r="G469" s="13" t="s">
        <v>637</v>
      </c>
      <c r="H469" s="17"/>
      <c r="I469" s="17"/>
      <c r="J469" s="13">
        <v>300.0</v>
      </c>
      <c r="K469" s="26">
        <v>2.0</v>
      </c>
      <c r="L469" s="27"/>
      <c r="M469" s="2" t="s">
        <v>638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6"/>
      <c r="C470" s="17"/>
      <c r="D470" s="18"/>
      <c r="E470" s="17"/>
      <c r="F470" s="13" t="s">
        <v>639</v>
      </c>
      <c r="G470" s="17"/>
      <c r="H470" s="17"/>
      <c r="I470" s="17"/>
      <c r="J470" s="17"/>
      <c r="K470" s="17"/>
      <c r="L470" s="3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6"/>
      <c r="C471" s="17"/>
      <c r="D471" s="17"/>
      <c r="E471" s="17"/>
      <c r="F471" s="17"/>
      <c r="G471" s="17"/>
      <c r="H471" s="17"/>
      <c r="I471" s="17"/>
      <c r="J471" s="17"/>
      <c r="K471" s="17"/>
      <c r="L471" s="3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38">
        <v>29.0</v>
      </c>
      <c r="C472" s="39">
        <v>1.0</v>
      </c>
      <c r="D472" s="13">
        <v>3.0</v>
      </c>
      <c r="E472" s="13">
        <v>301.0</v>
      </c>
      <c r="F472" s="13" t="s">
        <v>640</v>
      </c>
      <c r="G472" s="13" t="s">
        <v>641</v>
      </c>
      <c r="H472" s="13" t="s">
        <v>22</v>
      </c>
      <c r="I472" s="13" t="s">
        <v>642</v>
      </c>
      <c r="J472" s="13">
        <v>198.0</v>
      </c>
      <c r="K472" s="56">
        <v>96238.0</v>
      </c>
      <c r="L472" s="57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6"/>
      <c r="C473" s="17"/>
      <c r="D473" s="18"/>
      <c r="E473" s="18"/>
      <c r="F473" s="13" t="s">
        <v>643</v>
      </c>
      <c r="G473" s="13" t="s">
        <v>644</v>
      </c>
      <c r="H473" s="17"/>
      <c r="I473" s="17"/>
      <c r="J473" s="13">
        <v>199.0</v>
      </c>
      <c r="K473" s="19"/>
      <c r="L473" s="57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6"/>
      <c r="C474" s="17"/>
      <c r="D474" s="17"/>
      <c r="E474" s="17"/>
      <c r="F474" s="17"/>
      <c r="G474" s="17"/>
      <c r="H474" s="17"/>
      <c r="I474" s="17"/>
      <c r="J474" s="17"/>
      <c r="K474" s="17"/>
      <c r="L474" s="3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25"/>
      <c r="C475" s="18"/>
      <c r="D475" s="13">
        <v>3.0</v>
      </c>
      <c r="E475" s="13">
        <v>302.0</v>
      </c>
      <c r="F475" s="13" t="s">
        <v>645</v>
      </c>
      <c r="G475" s="13" t="s">
        <v>646</v>
      </c>
      <c r="H475" s="17"/>
      <c r="I475" s="17"/>
      <c r="J475" s="13">
        <v>341.0</v>
      </c>
      <c r="K475" s="13" t="s">
        <v>647</v>
      </c>
      <c r="L475" s="6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6"/>
      <c r="C476" s="17"/>
      <c r="D476" s="17"/>
      <c r="E476" s="17"/>
      <c r="F476" s="13" t="s">
        <v>648</v>
      </c>
      <c r="G476" s="13" t="s">
        <v>649</v>
      </c>
      <c r="H476" s="17"/>
      <c r="I476" s="17"/>
      <c r="J476" s="13">
        <v>342.0</v>
      </c>
      <c r="K476" s="13" t="s">
        <v>647</v>
      </c>
      <c r="L476" s="6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6"/>
      <c r="C477" s="17"/>
      <c r="D477" s="17"/>
      <c r="E477" s="17"/>
      <c r="F477" s="17"/>
      <c r="G477" s="17"/>
      <c r="H477" s="17"/>
      <c r="I477" s="17"/>
      <c r="J477" s="17"/>
      <c r="K477" s="17"/>
      <c r="L477" s="3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25"/>
      <c r="C478" s="18"/>
      <c r="D478" s="13">
        <v>3.0</v>
      </c>
      <c r="E478" s="13">
        <v>303.0</v>
      </c>
      <c r="F478" s="13" t="s">
        <v>650</v>
      </c>
      <c r="G478" s="13"/>
      <c r="H478" s="13" t="s">
        <v>22</v>
      </c>
      <c r="I478" s="13" t="s">
        <v>651</v>
      </c>
      <c r="J478" s="13" t="s">
        <v>652</v>
      </c>
      <c r="K478" s="13" t="s">
        <v>653</v>
      </c>
      <c r="L478" s="6" t="s">
        <v>257</v>
      </c>
      <c r="M478" s="2" t="s">
        <v>31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6"/>
      <c r="C479" s="17"/>
      <c r="D479" s="18"/>
      <c r="E479" s="18"/>
      <c r="F479" s="13" t="s">
        <v>654</v>
      </c>
      <c r="G479" s="13"/>
      <c r="H479" s="17"/>
      <c r="I479" s="13" t="s">
        <v>655</v>
      </c>
      <c r="J479" s="13" t="s">
        <v>656</v>
      </c>
      <c r="K479" s="17"/>
      <c r="L479" s="3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6"/>
      <c r="C480" s="17"/>
      <c r="D480" s="17"/>
      <c r="E480" s="17"/>
      <c r="F480" s="17"/>
      <c r="G480" s="17"/>
      <c r="H480" s="17"/>
      <c r="I480" s="17"/>
      <c r="J480" s="17"/>
      <c r="K480" s="17"/>
      <c r="L480" s="3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25"/>
      <c r="C481" s="18"/>
      <c r="D481" s="13">
        <v>3.0</v>
      </c>
      <c r="E481" s="13">
        <v>304.0</v>
      </c>
      <c r="F481" s="13" t="s">
        <v>657</v>
      </c>
      <c r="G481" s="13" t="s">
        <v>658</v>
      </c>
      <c r="H481" s="17"/>
      <c r="I481" s="17"/>
      <c r="J481" s="13">
        <v>222.0</v>
      </c>
      <c r="K481" s="13" t="s">
        <v>60</v>
      </c>
      <c r="L481" s="6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6"/>
      <c r="C482" s="17"/>
      <c r="D482" s="18"/>
      <c r="E482" s="18"/>
      <c r="F482" s="13" t="s">
        <v>659</v>
      </c>
      <c r="G482" s="13" t="s">
        <v>660</v>
      </c>
      <c r="H482" s="13" t="s">
        <v>22</v>
      </c>
      <c r="I482" s="13" t="s">
        <v>661</v>
      </c>
      <c r="J482" s="17"/>
      <c r="K482" s="17"/>
      <c r="L482" s="3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6"/>
      <c r="C483" s="17"/>
      <c r="D483" s="18"/>
      <c r="E483" s="18"/>
      <c r="F483" s="13" t="s">
        <v>617</v>
      </c>
      <c r="G483" s="13" t="s">
        <v>660</v>
      </c>
      <c r="H483" s="17"/>
      <c r="I483" s="17"/>
      <c r="J483" s="17"/>
      <c r="K483" s="17"/>
      <c r="L483" s="3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6"/>
      <c r="C484" s="17"/>
      <c r="D484" s="17"/>
      <c r="E484" s="17"/>
      <c r="F484" s="17"/>
      <c r="G484" s="17"/>
      <c r="H484" s="17"/>
      <c r="I484" s="17"/>
      <c r="J484" s="17"/>
      <c r="K484" s="17"/>
      <c r="L484" s="3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25"/>
      <c r="C485" s="18"/>
      <c r="D485" s="65">
        <v>3.0</v>
      </c>
      <c r="E485" s="13">
        <v>305.0</v>
      </c>
      <c r="F485" s="14" t="s">
        <v>662</v>
      </c>
      <c r="G485" s="14" t="s">
        <v>43</v>
      </c>
      <c r="H485" s="13" t="s">
        <v>22</v>
      </c>
      <c r="I485" s="13" t="s">
        <v>663</v>
      </c>
      <c r="J485" s="17"/>
      <c r="K485" s="17"/>
      <c r="L485" s="3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25"/>
      <c r="C486" s="18"/>
      <c r="D486" s="13"/>
      <c r="E486" s="13"/>
      <c r="F486" s="14" t="s">
        <v>662</v>
      </c>
      <c r="G486" s="14" t="s">
        <v>43</v>
      </c>
      <c r="H486" s="13" t="s">
        <v>22</v>
      </c>
      <c r="I486" s="13" t="s">
        <v>664</v>
      </c>
      <c r="J486" s="17"/>
      <c r="K486" s="17"/>
      <c r="L486" s="3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25"/>
      <c r="C487" s="18"/>
      <c r="D487" s="13"/>
      <c r="E487" s="13"/>
      <c r="F487" s="14" t="s">
        <v>662</v>
      </c>
      <c r="G487" s="14" t="s">
        <v>43</v>
      </c>
      <c r="H487" s="13" t="s">
        <v>22</v>
      </c>
      <c r="I487" s="13" t="s">
        <v>665</v>
      </c>
      <c r="J487" s="17"/>
      <c r="K487" s="17"/>
      <c r="L487" s="3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6"/>
      <c r="C488" s="17"/>
      <c r="D488" s="18"/>
      <c r="E488" s="18"/>
      <c r="F488" s="29" t="s">
        <v>666</v>
      </c>
      <c r="G488" s="29" t="s">
        <v>667</v>
      </c>
      <c r="H488" s="13" t="s">
        <v>22</v>
      </c>
      <c r="I488" s="13" t="s">
        <v>668</v>
      </c>
      <c r="J488" s="17"/>
      <c r="K488" s="17"/>
      <c r="L488" s="3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6"/>
      <c r="C489" s="17"/>
      <c r="D489" s="18"/>
      <c r="E489" s="18"/>
      <c r="F489" s="29" t="s">
        <v>666</v>
      </c>
      <c r="G489" s="29" t="s">
        <v>667</v>
      </c>
      <c r="H489" s="13" t="s">
        <v>22</v>
      </c>
      <c r="I489" s="13" t="s">
        <v>669</v>
      </c>
      <c r="J489" s="17"/>
      <c r="K489" s="17"/>
      <c r="L489" s="3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6"/>
      <c r="C490" s="17"/>
      <c r="D490" s="18"/>
      <c r="E490" s="18"/>
      <c r="F490" s="29" t="s">
        <v>666</v>
      </c>
      <c r="G490" s="29" t="s">
        <v>667</v>
      </c>
      <c r="H490" s="13" t="s">
        <v>22</v>
      </c>
      <c r="I490" s="13" t="s">
        <v>670</v>
      </c>
      <c r="J490" s="17"/>
      <c r="K490" s="17"/>
      <c r="L490" s="3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6"/>
      <c r="C491" s="17"/>
      <c r="D491" s="17"/>
      <c r="E491" s="17"/>
      <c r="F491" s="17"/>
      <c r="G491" s="17"/>
      <c r="H491" s="17"/>
      <c r="I491" s="17"/>
      <c r="J491" s="17"/>
      <c r="K491" s="17"/>
      <c r="L491" s="3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6"/>
      <c r="C492" s="17"/>
      <c r="D492" s="17"/>
      <c r="E492" s="17"/>
      <c r="F492" s="13" t="s">
        <v>671</v>
      </c>
      <c r="G492" s="17"/>
      <c r="H492" s="17"/>
      <c r="I492" s="13" t="s">
        <v>672</v>
      </c>
      <c r="J492" s="13" t="s">
        <v>673</v>
      </c>
      <c r="K492" s="17"/>
      <c r="L492" s="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6"/>
      <c r="C493" s="17"/>
      <c r="D493" s="17"/>
      <c r="E493" s="17"/>
      <c r="F493" s="13" t="s">
        <v>671</v>
      </c>
      <c r="G493" s="17"/>
      <c r="H493" s="13" t="s">
        <v>674</v>
      </c>
      <c r="I493" s="13" t="s">
        <v>675</v>
      </c>
      <c r="J493" s="13">
        <v>354.0</v>
      </c>
      <c r="K493" s="17"/>
      <c r="L493" s="3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6"/>
      <c r="C494" s="17"/>
      <c r="D494" s="17"/>
      <c r="E494" s="17"/>
      <c r="F494" s="13"/>
      <c r="G494" s="17"/>
      <c r="H494" s="13"/>
      <c r="I494" s="13"/>
      <c r="J494" s="13"/>
      <c r="K494" s="17"/>
      <c r="L494" s="3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38">
        <v>29.0</v>
      </c>
      <c r="C495" s="39">
        <v>1.0</v>
      </c>
      <c r="D495" s="13">
        <v>4.0</v>
      </c>
      <c r="E495" s="13">
        <v>401.0</v>
      </c>
      <c r="F495" s="13" t="s">
        <v>676</v>
      </c>
      <c r="G495" s="13" t="s">
        <v>423</v>
      </c>
      <c r="H495" s="18"/>
      <c r="I495" s="18"/>
      <c r="J495" s="13">
        <v>89.0</v>
      </c>
      <c r="K495" s="124">
        <v>57174.0</v>
      </c>
      <c r="L495" s="125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38"/>
      <c r="C496" s="39"/>
      <c r="D496" s="13"/>
      <c r="E496" s="13"/>
      <c r="F496" s="13" t="s">
        <v>677</v>
      </c>
      <c r="G496" s="13"/>
      <c r="H496" s="18"/>
      <c r="I496" s="18"/>
      <c r="J496" s="13">
        <v>190.0</v>
      </c>
      <c r="K496" s="124" t="s">
        <v>678</v>
      </c>
      <c r="L496" s="125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6"/>
      <c r="C497" s="17"/>
      <c r="D497" s="18"/>
      <c r="E497" s="18"/>
      <c r="F497" s="13" t="s">
        <v>679</v>
      </c>
      <c r="G497" s="13" t="s">
        <v>680</v>
      </c>
      <c r="H497" s="13" t="s">
        <v>22</v>
      </c>
      <c r="I497" s="13" t="s">
        <v>681</v>
      </c>
      <c r="J497" s="13">
        <v>275.0</v>
      </c>
      <c r="K497" s="13">
        <v>87404.0</v>
      </c>
      <c r="L497" s="6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6"/>
      <c r="C498" s="17"/>
      <c r="D498" s="18"/>
      <c r="E498" s="18"/>
      <c r="F498" s="13" t="s">
        <v>569</v>
      </c>
      <c r="G498" s="13" t="s">
        <v>682</v>
      </c>
      <c r="H498" s="17"/>
      <c r="I498" s="17"/>
      <c r="J498" s="17"/>
      <c r="K498" s="17"/>
      <c r="L498" s="3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6"/>
      <c r="C499" s="17"/>
      <c r="D499" s="18"/>
      <c r="E499" s="18"/>
      <c r="F499" s="13" t="s">
        <v>683</v>
      </c>
      <c r="G499" s="13" t="s">
        <v>684</v>
      </c>
      <c r="H499" s="17"/>
      <c r="I499" s="17"/>
      <c r="J499" s="17"/>
      <c r="K499" s="17"/>
      <c r="L499" s="3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6"/>
      <c r="C500" s="17"/>
      <c r="D500" s="18"/>
      <c r="E500" s="18"/>
      <c r="F500" s="13" t="s">
        <v>685</v>
      </c>
      <c r="G500" s="13" t="s">
        <v>686</v>
      </c>
      <c r="H500" s="17"/>
      <c r="I500" s="17"/>
      <c r="J500" s="17"/>
      <c r="K500" s="17"/>
      <c r="L500" s="3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6"/>
      <c r="C501" s="17"/>
      <c r="D501" s="17"/>
      <c r="E501" s="17"/>
      <c r="F501" s="17"/>
      <c r="G501" s="17"/>
      <c r="H501" s="17"/>
      <c r="I501" s="17"/>
      <c r="J501" s="17"/>
      <c r="K501" s="17"/>
      <c r="L501" s="3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25"/>
      <c r="C502" s="18"/>
      <c r="D502" s="13">
        <v>4.0</v>
      </c>
      <c r="E502" s="13">
        <v>402.0</v>
      </c>
      <c r="F502" s="13" t="s">
        <v>687</v>
      </c>
      <c r="G502" s="13" t="s">
        <v>384</v>
      </c>
      <c r="H502" s="13" t="s">
        <v>22</v>
      </c>
      <c r="I502" s="13" t="s">
        <v>688</v>
      </c>
      <c r="J502" s="13">
        <v>97.0</v>
      </c>
      <c r="K502" s="34">
        <v>47754.0</v>
      </c>
      <c r="L502" s="3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25"/>
      <c r="C503" s="18"/>
      <c r="D503" s="13"/>
      <c r="E503" s="13"/>
      <c r="F503" s="13" t="s">
        <v>687</v>
      </c>
      <c r="G503" s="13" t="s">
        <v>384</v>
      </c>
      <c r="H503" s="13" t="s">
        <v>22</v>
      </c>
      <c r="I503" s="13" t="s">
        <v>689</v>
      </c>
      <c r="J503" s="13"/>
      <c r="K503" s="75"/>
      <c r="L503" s="3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6"/>
      <c r="C504" s="17"/>
      <c r="D504" s="18"/>
      <c r="E504" s="18"/>
      <c r="F504" s="13" t="s">
        <v>396</v>
      </c>
      <c r="G504" s="13" t="s">
        <v>690</v>
      </c>
      <c r="H504" s="18"/>
      <c r="I504" s="18"/>
      <c r="J504" s="13">
        <v>98.0</v>
      </c>
      <c r="K504" s="36"/>
      <c r="L504" s="3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6"/>
      <c r="C505" s="17"/>
      <c r="D505" s="17"/>
      <c r="E505" s="17"/>
      <c r="F505" s="17"/>
      <c r="G505" s="17"/>
      <c r="H505" s="17"/>
      <c r="I505" s="17"/>
      <c r="J505" s="17"/>
      <c r="K505" s="17"/>
      <c r="L505" s="3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25"/>
      <c r="C506" s="18"/>
      <c r="D506" s="13">
        <v>4.0</v>
      </c>
      <c r="E506" s="13">
        <v>403.0</v>
      </c>
      <c r="F506" s="13" t="s">
        <v>691</v>
      </c>
      <c r="G506" s="13" t="s">
        <v>239</v>
      </c>
      <c r="H506" s="17"/>
      <c r="I506" s="17"/>
      <c r="J506" s="13">
        <v>152.0</v>
      </c>
      <c r="K506" s="104">
        <v>64414.0</v>
      </c>
      <c r="L506" s="57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6"/>
      <c r="C507" s="17"/>
      <c r="D507" s="18"/>
      <c r="E507" s="18"/>
      <c r="F507" s="13" t="s">
        <v>497</v>
      </c>
      <c r="G507" s="13" t="s">
        <v>692</v>
      </c>
      <c r="H507" s="13" t="s">
        <v>22</v>
      </c>
      <c r="I507" s="13" t="s">
        <v>693</v>
      </c>
      <c r="J507" s="13">
        <v>339.0</v>
      </c>
      <c r="K507" s="13">
        <v>2883.0</v>
      </c>
      <c r="L507" s="6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6"/>
      <c r="C508" s="17"/>
      <c r="D508" s="18"/>
      <c r="E508" s="17"/>
      <c r="F508" s="13" t="s">
        <v>431</v>
      </c>
      <c r="G508" s="13" t="s">
        <v>694</v>
      </c>
      <c r="H508" s="17"/>
      <c r="I508" s="17"/>
      <c r="J508" s="13">
        <v>340.0</v>
      </c>
      <c r="K508" s="13">
        <v>2883.0</v>
      </c>
      <c r="L508" s="6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6"/>
      <c r="C509" s="17"/>
      <c r="D509" s="18"/>
      <c r="E509" s="17"/>
      <c r="F509" s="13" t="s">
        <v>497</v>
      </c>
      <c r="G509" s="13" t="s">
        <v>692</v>
      </c>
      <c r="H509" s="17"/>
      <c r="I509" s="17"/>
      <c r="J509" s="13">
        <v>343.0</v>
      </c>
      <c r="K509" s="17"/>
      <c r="L509" s="3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6"/>
      <c r="C510" s="17"/>
      <c r="D510" s="17"/>
      <c r="E510" s="17"/>
      <c r="F510" s="17"/>
      <c r="G510" s="17"/>
      <c r="H510" s="17"/>
      <c r="I510" s="17"/>
      <c r="J510" s="17"/>
      <c r="K510" s="17"/>
      <c r="L510" s="3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25"/>
      <c r="C511" s="18"/>
      <c r="D511" s="13">
        <v>4.0</v>
      </c>
      <c r="E511" s="13">
        <v>404.0</v>
      </c>
      <c r="F511" s="13" t="s">
        <v>695</v>
      </c>
      <c r="G511" s="13" t="s">
        <v>559</v>
      </c>
      <c r="H511" s="13" t="s">
        <v>22</v>
      </c>
      <c r="I511" s="17"/>
      <c r="J511" s="17"/>
      <c r="K511" s="17"/>
      <c r="L511" s="3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6"/>
      <c r="C512" s="17"/>
      <c r="D512" s="18"/>
      <c r="E512" s="18"/>
      <c r="F512" s="13" t="s">
        <v>98</v>
      </c>
      <c r="G512" s="13" t="s">
        <v>696</v>
      </c>
      <c r="H512" s="17"/>
      <c r="I512" s="17"/>
      <c r="J512" s="17"/>
      <c r="K512" s="17"/>
      <c r="L512" s="3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6"/>
      <c r="C513" s="17"/>
      <c r="D513" s="18"/>
      <c r="E513" s="18"/>
      <c r="F513" s="13" t="s">
        <v>697</v>
      </c>
      <c r="G513" s="13" t="s">
        <v>696</v>
      </c>
      <c r="H513" s="17"/>
      <c r="I513" s="17"/>
      <c r="J513" s="17"/>
      <c r="K513" s="17"/>
      <c r="L513" s="3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6"/>
      <c r="C514" s="17"/>
      <c r="D514" s="18"/>
      <c r="E514" s="18"/>
      <c r="F514" s="13" t="s">
        <v>645</v>
      </c>
      <c r="G514" s="13" t="s">
        <v>696</v>
      </c>
      <c r="H514" s="18"/>
      <c r="I514" s="18"/>
      <c r="J514" s="13">
        <v>118.0</v>
      </c>
      <c r="K514" s="42">
        <v>115.0</v>
      </c>
      <c r="L514" s="43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6"/>
      <c r="C515" s="17"/>
      <c r="D515" s="17"/>
      <c r="E515" s="17"/>
      <c r="F515" s="17"/>
      <c r="G515" s="17"/>
      <c r="H515" s="17"/>
      <c r="I515" s="17"/>
      <c r="J515" s="17"/>
      <c r="K515" s="17"/>
      <c r="L515" s="3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25"/>
      <c r="C516" s="18"/>
      <c r="D516" s="13">
        <v>4.0</v>
      </c>
      <c r="E516" s="13">
        <v>405.0</v>
      </c>
      <c r="F516" s="13" t="s">
        <v>698</v>
      </c>
      <c r="G516" s="13" t="s">
        <v>699</v>
      </c>
      <c r="H516" s="13" t="s">
        <v>87</v>
      </c>
      <c r="I516" s="13" t="s">
        <v>700</v>
      </c>
      <c r="J516" s="13">
        <v>244.0</v>
      </c>
      <c r="K516" s="26">
        <v>3.0</v>
      </c>
      <c r="L516" s="27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6"/>
      <c r="C517" s="17"/>
      <c r="D517" s="18"/>
      <c r="E517" s="18"/>
      <c r="F517" s="13" t="s">
        <v>701</v>
      </c>
      <c r="G517" s="13" t="s">
        <v>699</v>
      </c>
      <c r="H517" s="17"/>
      <c r="I517" s="17"/>
      <c r="J517" s="17"/>
      <c r="K517" s="17"/>
      <c r="L517" s="3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6"/>
      <c r="C518" s="17"/>
      <c r="D518" s="17"/>
      <c r="E518" s="17"/>
      <c r="F518" s="17"/>
      <c r="G518" s="17"/>
      <c r="H518" s="17"/>
      <c r="I518" s="17"/>
      <c r="J518" s="17"/>
      <c r="K518" s="17"/>
      <c r="L518" s="3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81">
        <v>29.0</v>
      </c>
      <c r="C519" s="82">
        <v>2.0</v>
      </c>
      <c r="D519" s="13" t="s">
        <v>19</v>
      </c>
      <c r="E519" s="40">
        <v>1.0</v>
      </c>
      <c r="F519" s="13" t="s">
        <v>116</v>
      </c>
      <c r="G519" s="13" t="s">
        <v>702</v>
      </c>
      <c r="H519" s="17"/>
      <c r="I519" s="17"/>
      <c r="J519" s="17"/>
      <c r="K519" s="17"/>
      <c r="L519" s="3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26"/>
      <c r="C520" s="127"/>
      <c r="D520" s="18"/>
      <c r="E520" s="18"/>
      <c r="F520" s="13" t="s">
        <v>703</v>
      </c>
      <c r="G520" s="13" t="s">
        <v>702</v>
      </c>
      <c r="H520" s="13" t="s">
        <v>47</v>
      </c>
      <c r="I520" s="13" t="s">
        <v>704</v>
      </c>
      <c r="J520" s="17"/>
      <c r="K520" s="17"/>
      <c r="L520" s="3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26"/>
      <c r="C521" s="127"/>
      <c r="D521" s="18"/>
      <c r="E521" s="18"/>
      <c r="F521" s="13" t="s">
        <v>703</v>
      </c>
      <c r="G521" s="13" t="s">
        <v>702</v>
      </c>
      <c r="H521" s="13" t="s">
        <v>22</v>
      </c>
      <c r="I521" s="13" t="s">
        <v>705</v>
      </c>
      <c r="J521" s="17"/>
      <c r="K521" s="17"/>
      <c r="L521" s="3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26"/>
      <c r="C522" s="127"/>
      <c r="D522" s="18"/>
      <c r="E522" s="18"/>
      <c r="F522" s="13" t="s">
        <v>318</v>
      </c>
      <c r="G522" s="13" t="s">
        <v>702</v>
      </c>
      <c r="H522" s="13" t="s">
        <v>47</v>
      </c>
      <c r="I522" s="13" t="s">
        <v>706</v>
      </c>
      <c r="J522" s="13" t="s">
        <v>707</v>
      </c>
      <c r="K522" s="26" t="s">
        <v>708</v>
      </c>
      <c r="L522" s="27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26"/>
      <c r="C523" s="127"/>
      <c r="D523" s="18"/>
      <c r="E523" s="18"/>
      <c r="F523" s="13" t="s">
        <v>709</v>
      </c>
      <c r="G523" s="13" t="s">
        <v>702</v>
      </c>
      <c r="H523" s="17"/>
      <c r="I523" s="17"/>
      <c r="J523" s="17"/>
      <c r="K523" s="17"/>
      <c r="L523" s="3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26"/>
      <c r="C524" s="127"/>
      <c r="D524" s="17"/>
      <c r="E524" s="17"/>
      <c r="F524" s="17"/>
      <c r="G524" s="17"/>
      <c r="H524" s="17"/>
      <c r="I524" s="17"/>
      <c r="J524" s="17"/>
      <c r="K524" s="17"/>
      <c r="L524" s="3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28"/>
      <c r="C525" s="129"/>
      <c r="D525" s="13" t="s">
        <v>19</v>
      </c>
      <c r="E525" s="40">
        <v>2.0</v>
      </c>
      <c r="F525" s="13" t="s">
        <v>339</v>
      </c>
      <c r="G525" s="13" t="s">
        <v>710</v>
      </c>
      <c r="H525" s="17"/>
      <c r="I525" s="17"/>
      <c r="J525" s="13">
        <v>256.0</v>
      </c>
      <c r="K525" s="37">
        <v>6.0</v>
      </c>
      <c r="L525" s="27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26"/>
      <c r="C526" s="127"/>
      <c r="D526" s="18"/>
      <c r="E526" s="17"/>
      <c r="F526" s="13" t="s">
        <v>711</v>
      </c>
      <c r="G526" s="17"/>
      <c r="H526" s="17"/>
      <c r="I526" s="17"/>
      <c r="J526" s="13">
        <v>257.0</v>
      </c>
      <c r="K526" s="19"/>
      <c r="L526" s="27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26"/>
      <c r="C527" s="127"/>
      <c r="D527" s="17"/>
      <c r="E527" s="17"/>
      <c r="F527" s="17"/>
      <c r="G527" s="17"/>
      <c r="H527" s="17"/>
      <c r="I527" s="17"/>
      <c r="J527" s="17"/>
      <c r="K527" s="17"/>
      <c r="L527" s="3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28"/>
      <c r="C528" s="129"/>
      <c r="D528" s="13" t="s">
        <v>19</v>
      </c>
      <c r="E528" s="40">
        <v>3.0</v>
      </c>
      <c r="F528" s="13" t="s">
        <v>712</v>
      </c>
      <c r="G528" s="13" t="s">
        <v>713</v>
      </c>
      <c r="H528" s="13" t="s">
        <v>47</v>
      </c>
      <c r="I528" s="13" t="s">
        <v>714</v>
      </c>
      <c r="J528" s="17"/>
      <c r="K528" s="17"/>
      <c r="L528" s="3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26"/>
      <c r="C529" s="127"/>
      <c r="D529" s="18"/>
      <c r="E529" s="18"/>
      <c r="F529" s="13" t="s">
        <v>715</v>
      </c>
      <c r="G529" s="13" t="s">
        <v>716</v>
      </c>
      <c r="H529" s="17"/>
      <c r="I529" s="17"/>
      <c r="J529" s="17"/>
      <c r="K529" s="17"/>
      <c r="L529" s="3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26"/>
      <c r="C530" s="127"/>
      <c r="D530" s="18"/>
      <c r="E530" s="17"/>
      <c r="F530" s="13" t="s">
        <v>569</v>
      </c>
      <c r="G530" s="17"/>
      <c r="H530" s="17"/>
      <c r="I530" s="17"/>
      <c r="J530" s="17"/>
      <c r="K530" s="17"/>
      <c r="L530" s="3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26"/>
      <c r="C531" s="127"/>
      <c r="D531" s="18"/>
      <c r="E531" s="17"/>
      <c r="F531" s="13" t="s">
        <v>452</v>
      </c>
      <c r="G531" s="17"/>
      <c r="H531" s="17"/>
      <c r="I531" s="17"/>
      <c r="J531" s="17"/>
      <c r="K531" s="17"/>
      <c r="L531" s="3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26"/>
      <c r="C532" s="127"/>
      <c r="D532" s="17"/>
      <c r="E532" s="17"/>
      <c r="F532" s="17"/>
      <c r="G532" s="17"/>
      <c r="H532" s="17"/>
      <c r="I532" s="17"/>
      <c r="J532" s="17"/>
      <c r="K532" s="17"/>
      <c r="L532" s="3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28"/>
      <c r="C533" s="129"/>
      <c r="D533" s="13" t="s">
        <v>19</v>
      </c>
      <c r="E533" s="13">
        <v>4.0</v>
      </c>
      <c r="F533" s="13" t="s">
        <v>717</v>
      </c>
      <c r="G533" s="13" t="s">
        <v>409</v>
      </c>
      <c r="H533" s="17"/>
      <c r="I533" s="17"/>
      <c r="J533" s="13">
        <v>344.0</v>
      </c>
      <c r="K533" s="13" t="s">
        <v>647</v>
      </c>
      <c r="L533" s="6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26"/>
      <c r="C534" s="127"/>
      <c r="D534" s="18"/>
      <c r="E534" s="18"/>
      <c r="F534" s="13" t="s">
        <v>718</v>
      </c>
      <c r="G534" s="13" t="s">
        <v>409</v>
      </c>
      <c r="H534" s="18"/>
      <c r="I534" s="18"/>
      <c r="J534" s="13">
        <v>31.0</v>
      </c>
      <c r="K534" s="34">
        <v>38640.0</v>
      </c>
      <c r="L534" s="3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26"/>
      <c r="C535" s="127"/>
      <c r="D535" s="18"/>
      <c r="E535" s="18"/>
      <c r="F535" s="13" t="s">
        <v>719</v>
      </c>
      <c r="G535" s="13" t="s">
        <v>720</v>
      </c>
      <c r="H535" s="18"/>
      <c r="I535" s="18"/>
      <c r="J535" s="13">
        <v>32.0</v>
      </c>
      <c r="K535" s="36"/>
      <c r="L535" s="3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26"/>
      <c r="C536" s="127"/>
      <c r="D536" s="18"/>
      <c r="E536" s="18"/>
      <c r="F536" s="13" t="s">
        <v>721</v>
      </c>
      <c r="G536" s="13" t="s">
        <v>409</v>
      </c>
      <c r="H536" s="17"/>
      <c r="I536" s="17"/>
      <c r="J536" s="13">
        <v>254.0</v>
      </c>
      <c r="K536" s="130">
        <v>6.0</v>
      </c>
      <c r="L536" s="13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26"/>
      <c r="C537" s="127"/>
      <c r="D537" s="18"/>
      <c r="E537" s="17"/>
      <c r="F537" s="13" t="s">
        <v>722</v>
      </c>
      <c r="G537" s="13" t="s">
        <v>723</v>
      </c>
      <c r="H537" s="13" t="s">
        <v>22</v>
      </c>
      <c r="I537" s="13" t="s">
        <v>724</v>
      </c>
      <c r="J537" s="13">
        <v>253.0</v>
      </c>
      <c r="K537" s="19"/>
      <c r="L537" s="13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26"/>
      <c r="C538" s="127"/>
      <c r="D538" s="17"/>
      <c r="E538" s="17"/>
      <c r="F538" s="17"/>
      <c r="G538" s="17"/>
      <c r="H538" s="17"/>
      <c r="I538" s="17"/>
      <c r="J538" s="17"/>
      <c r="K538" s="132"/>
      <c r="L538" s="133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81">
        <v>29.0</v>
      </c>
      <c r="C539" s="85">
        <v>2.0</v>
      </c>
      <c r="D539" s="13">
        <v>1.0</v>
      </c>
      <c r="E539" s="13">
        <v>101.0</v>
      </c>
      <c r="F539" s="13" t="s">
        <v>725</v>
      </c>
      <c r="G539" s="13" t="s">
        <v>726</v>
      </c>
      <c r="H539" s="13" t="s">
        <v>47</v>
      </c>
      <c r="I539" s="13" t="s">
        <v>727</v>
      </c>
      <c r="J539" s="13" t="s">
        <v>728</v>
      </c>
      <c r="K539" s="13" t="s">
        <v>729</v>
      </c>
      <c r="L539" s="6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26"/>
      <c r="C540" s="127"/>
      <c r="D540" s="18"/>
      <c r="E540" s="18"/>
      <c r="F540" s="13" t="s">
        <v>730</v>
      </c>
      <c r="G540" s="13" t="s">
        <v>400</v>
      </c>
      <c r="H540" s="13" t="s">
        <v>47</v>
      </c>
      <c r="I540" s="13" t="s">
        <v>731</v>
      </c>
      <c r="J540" s="17"/>
      <c r="K540" s="17"/>
      <c r="L540" s="3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26"/>
      <c r="C541" s="127"/>
      <c r="D541" s="17"/>
      <c r="E541" s="17"/>
      <c r="F541" s="17"/>
      <c r="G541" s="17"/>
      <c r="H541" s="17"/>
      <c r="I541" s="17"/>
      <c r="J541" s="17"/>
      <c r="K541" s="17"/>
      <c r="L541" s="3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28"/>
      <c r="C542" s="129"/>
      <c r="D542" s="13">
        <v>1.0</v>
      </c>
      <c r="E542" s="13">
        <v>102.0</v>
      </c>
      <c r="F542" s="13" t="s">
        <v>116</v>
      </c>
      <c r="G542" s="13" t="s">
        <v>732</v>
      </c>
      <c r="H542" s="18"/>
      <c r="I542" s="18"/>
      <c r="J542" s="13">
        <v>102.0</v>
      </c>
      <c r="K542" s="13" t="s">
        <v>733</v>
      </c>
      <c r="L542" s="6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26"/>
      <c r="C543" s="127"/>
      <c r="D543" s="17"/>
      <c r="E543" s="17"/>
      <c r="F543" s="17"/>
      <c r="G543" s="17"/>
      <c r="H543" s="17"/>
      <c r="I543" s="17"/>
      <c r="J543" s="17"/>
      <c r="K543" s="17"/>
      <c r="L543" s="3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34"/>
      <c r="C544" s="129"/>
      <c r="D544" s="13">
        <v>1.0</v>
      </c>
      <c r="E544" s="40">
        <v>103.0</v>
      </c>
      <c r="F544" s="13" t="s">
        <v>520</v>
      </c>
      <c r="G544" s="13" t="s">
        <v>409</v>
      </c>
      <c r="H544" s="17"/>
      <c r="I544" s="17"/>
      <c r="J544" s="17"/>
      <c r="K544" s="17"/>
      <c r="L544" s="3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26"/>
      <c r="C545" s="127"/>
      <c r="D545" s="18"/>
      <c r="E545" s="18"/>
      <c r="F545" s="13" t="s">
        <v>734</v>
      </c>
      <c r="G545" s="13" t="s">
        <v>735</v>
      </c>
      <c r="H545" s="13"/>
      <c r="I545" s="13"/>
      <c r="J545" s="17"/>
      <c r="K545" s="17"/>
      <c r="L545" s="3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26"/>
      <c r="C546" s="127"/>
      <c r="D546" s="18"/>
      <c r="E546" s="18"/>
      <c r="F546" s="13" t="s">
        <v>396</v>
      </c>
      <c r="G546" s="13" t="s">
        <v>409</v>
      </c>
      <c r="H546" s="17"/>
      <c r="I546" s="17"/>
      <c r="J546" s="17"/>
      <c r="K546" s="17"/>
      <c r="L546" s="3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26"/>
      <c r="C547" s="127"/>
      <c r="D547" s="17"/>
      <c r="E547" s="17"/>
      <c r="F547" s="17"/>
      <c r="G547" s="17"/>
      <c r="H547" s="17"/>
      <c r="I547" s="17"/>
      <c r="J547" s="17"/>
      <c r="K547" s="17"/>
      <c r="L547" s="3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28"/>
      <c r="C548" s="129"/>
      <c r="D548" s="13">
        <v>1.0</v>
      </c>
      <c r="E548" s="40">
        <v>104.0</v>
      </c>
      <c r="F548" s="13" t="s">
        <v>360</v>
      </c>
      <c r="G548" s="13" t="s">
        <v>736</v>
      </c>
      <c r="H548" s="17"/>
      <c r="I548" s="17"/>
      <c r="J548" s="13">
        <v>313.0</v>
      </c>
      <c r="K548" s="14">
        <v>10340.0</v>
      </c>
      <c r="L548" s="6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26"/>
      <c r="C549" s="127"/>
      <c r="D549" s="18"/>
      <c r="E549" s="18"/>
      <c r="F549" s="13" t="s">
        <v>737</v>
      </c>
      <c r="G549" s="13" t="s">
        <v>738</v>
      </c>
      <c r="H549" s="17"/>
      <c r="I549" s="17"/>
      <c r="J549" s="13">
        <v>314.0</v>
      </c>
      <c r="K549" s="19"/>
      <c r="L549" s="6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26"/>
      <c r="C550" s="127"/>
      <c r="D550" s="18"/>
      <c r="E550" s="18"/>
      <c r="F550" s="13" t="s">
        <v>739</v>
      </c>
      <c r="G550" s="13" t="s">
        <v>738</v>
      </c>
      <c r="H550" s="17"/>
      <c r="I550" s="17"/>
      <c r="J550" s="17"/>
      <c r="K550" s="17"/>
      <c r="L550" s="3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26"/>
      <c r="C551" s="127"/>
      <c r="D551" s="17"/>
      <c r="E551" s="17"/>
      <c r="F551" s="13" t="s">
        <v>740</v>
      </c>
      <c r="G551" s="13" t="s">
        <v>736</v>
      </c>
      <c r="H551" s="17"/>
      <c r="I551" s="17"/>
      <c r="J551" s="13">
        <v>315.0</v>
      </c>
      <c r="K551" s="13">
        <v>42499.0</v>
      </c>
      <c r="L551" s="6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26"/>
      <c r="C552" s="127"/>
      <c r="D552" s="17"/>
      <c r="E552" s="17"/>
      <c r="F552" s="13" t="s">
        <v>741</v>
      </c>
      <c r="G552" s="13" t="s">
        <v>742</v>
      </c>
      <c r="H552" s="17"/>
      <c r="I552" s="17"/>
      <c r="J552" s="13">
        <v>316.0</v>
      </c>
      <c r="K552" s="13">
        <v>26391.0</v>
      </c>
      <c r="L552" s="6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26"/>
      <c r="C553" s="127"/>
      <c r="D553" s="17"/>
      <c r="E553" s="17"/>
      <c r="F553" s="17"/>
      <c r="G553" s="17"/>
      <c r="H553" s="17"/>
      <c r="I553" s="17"/>
      <c r="J553" s="17"/>
      <c r="K553" s="17"/>
      <c r="L553" s="3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81">
        <v>29.0</v>
      </c>
      <c r="C554" s="82">
        <v>2.0</v>
      </c>
      <c r="D554" s="13">
        <v>2.0</v>
      </c>
      <c r="E554" s="13">
        <v>201.0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26"/>
      <c r="C555" s="127"/>
      <c r="D555" s="18"/>
      <c r="E555" s="18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26"/>
      <c r="C556" s="127"/>
      <c r="D556" s="17"/>
      <c r="E556" s="17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26"/>
      <c r="C557" s="127"/>
      <c r="D557" s="17"/>
      <c r="E557" s="17"/>
      <c r="F557" s="17"/>
      <c r="G557" s="17"/>
      <c r="H557" s="17"/>
      <c r="I557" s="17"/>
      <c r="J557" s="17"/>
      <c r="K557" s="17"/>
      <c r="L557" s="3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26"/>
      <c r="C558" s="127"/>
      <c r="D558" s="17"/>
      <c r="E558" s="17"/>
      <c r="F558" s="17"/>
      <c r="G558" s="17"/>
      <c r="H558" s="17"/>
      <c r="I558" s="17"/>
      <c r="J558" s="17"/>
      <c r="K558" s="17"/>
      <c r="L558" s="3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28"/>
      <c r="C559" s="129"/>
      <c r="D559" s="13">
        <v>2.0</v>
      </c>
      <c r="E559" s="13">
        <v>202.0</v>
      </c>
      <c r="F559" s="13" t="s">
        <v>743</v>
      </c>
      <c r="G559" s="13" t="s">
        <v>744</v>
      </c>
      <c r="H559" s="13" t="s">
        <v>47</v>
      </c>
      <c r="I559" s="13" t="s">
        <v>745</v>
      </c>
      <c r="J559" s="13" t="s">
        <v>746</v>
      </c>
      <c r="K559" s="34">
        <v>57509.0</v>
      </c>
      <c r="L559" s="3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26"/>
      <c r="C560" s="127"/>
      <c r="D560" s="17"/>
      <c r="E560" s="17"/>
      <c r="F560" s="17"/>
      <c r="G560" s="17"/>
      <c r="H560" s="17"/>
      <c r="I560" s="18"/>
      <c r="J560" s="17"/>
      <c r="K560" s="36"/>
      <c r="L560" s="3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28"/>
      <c r="C561" s="129"/>
      <c r="D561" s="13">
        <v>2.0</v>
      </c>
      <c r="E561" s="13">
        <v>203.0</v>
      </c>
      <c r="F561" s="13" t="s">
        <v>747</v>
      </c>
      <c r="G561" s="13" t="s">
        <v>273</v>
      </c>
      <c r="H561" s="13" t="s">
        <v>47</v>
      </c>
      <c r="I561" s="13" t="s">
        <v>748</v>
      </c>
      <c r="J561" s="17"/>
      <c r="K561" s="17"/>
      <c r="L561" s="3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26"/>
      <c r="C562" s="127"/>
      <c r="D562" s="18"/>
      <c r="E562" s="18"/>
      <c r="F562" s="13" t="s">
        <v>749</v>
      </c>
      <c r="G562" s="13"/>
      <c r="H562" s="17"/>
      <c r="I562" s="17"/>
      <c r="J562" s="13">
        <v>239.0</v>
      </c>
      <c r="K562" s="13" t="s">
        <v>62</v>
      </c>
      <c r="L562" s="6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26"/>
      <c r="C563" s="127"/>
      <c r="D563" s="17"/>
      <c r="E563" s="17"/>
      <c r="F563" s="17"/>
      <c r="G563" s="17"/>
      <c r="H563" s="17"/>
      <c r="I563" s="17"/>
      <c r="J563" s="17"/>
      <c r="K563" s="17"/>
      <c r="L563" s="3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28"/>
      <c r="C564" s="129"/>
      <c r="D564" s="13">
        <v>2.0</v>
      </c>
      <c r="E564" s="13">
        <v>204.0</v>
      </c>
      <c r="F564" s="13" t="s">
        <v>396</v>
      </c>
      <c r="G564" s="13" t="s">
        <v>750</v>
      </c>
      <c r="H564" s="13" t="s">
        <v>22</v>
      </c>
      <c r="I564" s="13" t="s">
        <v>751</v>
      </c>
      <c r="J564" s="17"/>
      <c r="K564" s="17"/>
      <c r="L564" s="3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28"/>
      <c r="C565" s="129"/>
      <c r="D565" s="13"/>
      <c r="E565" s="13"/>
      <c r="F565" s="13" t="s">
        <v>752</v>
      </c>
      <c r="G565" s="13"/>
      <c r="H565" s="17"/>
      <c r="I565" s="17"/>
      <c r="J565" s="13">
        <v>367.0</v>
      </c>
      <c r="K565" s="13" t="s">
        <v>516</v>
      </c>
      <c r="L565" s="6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28"/>
      <c r="C566" s="129"/>
      <c r="D566" s="13"/>
      <c r="E566" s="13"/>
      <c r="F566" s="13" t="s">
        <v>753</v>
      </c>
      <c r="G566" s="13" t="s">
        <v>754</v>
      </c>
      <c r="H566" s="13" t="s">
        <v>22</v>
      </c>
      <c r="I566" s="13" t="s">
        <v>755</v>
      </c>
      <c r="J566" s="13">
        <v>368.0</v>
      </c>
      <c r="K566" s="13" t="s">
        <v>756</v>
      </c>
      <c r="L566" s="6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28"/>
      <c r="C567" s="129"/>
      <c r="D567" s="13"/>
      <c r="E567" s="13"/>
      <c r="F567" s="13" t="s">
        <v>666</v>
      </c>
      <c r="G567" s="135" t="s">
        <v>750</v>
      </c>
      <c r="H567" s="17"/>
      <c r="I567" s="17"/>
      <c r="J567" s="17"/>
      <c r="K567" s="17"/>
      <c r="L567" s="3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28"/>
      <c r="C568" s="129"/>
      <c r="D568" s="13"/>
      <c r="E568" s="13"/>
      <c r="F568" s="13" t="s">
        <v>757</v>
      </c>
      <c r="G568" s="136" t="s">
        <v>754</v>
      </c>
      <c r="H568" s="17"/>
      <c r="I568" s="17"/>
      <c r="J568" s="17"/>
      <c r="K568" s="17"/>
      <c r="L568" s="3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26"/>
      <c r="C569" s="127"/>
      <c r="D569" s="17"/>
      <c r="E569" s="17"/>
      <c r="F569" s="13" t="s">
        <v>758</v>
      </c>
      <c r="G569" s="13" t="s">
        <v>759</v>
      </c>
      <c r="H569" s="13" t="s">
        <v>22</v>
      </c>
      <c r="I569" s="13" t="s">
        <v>760</v>
      </c>
      <c r="J569" s="17"/>
      <c r="K569" s="17"/>
      <c r="L569" s="3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26"/>
      <c r="C570" s="127"/>
      <c r="D570" s="17"/>
      <c r="E570" s="17"/>
      <c r="F570" s="17"/>
      <c r="G570" s="17"/>
      <c r="H570" s="17"/>
      <c r="I570" s="17"/>
      <c r="J570" s="17"/>
      <c r="K570" s="17"/>
      <c r="L570" s="3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81">
        <v>29.0</v>
      </c>
      <c r="C571" s="82">
        <v>2.0</v>
      </c>
      <c r="D571" s="13">
        <v>3.0</v>
      </c>
      <c r="E571" s="40">
        <v>301.0</v>
      </c>
      <c r="F571" s="13" t="s">
        <v>761</v>
      </c>
      <c r="G571" s="13" t="s">
        <v>762</v>
      </c>
      <c r="H571" s="17"/>
      <c r="I571" s="17"/>
      <c r="J571" s="13">
        <v>266.0</v>
      </c>
      <c r="K571" s="13">
        <v>5053.0</v>
      </c>
      <c r="L571" s="6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26"/>
      <c r="C572" s="127"/>
      <c r="D572" s="18"/>
      <c r="E572" s="18"/>
      <c r="F572" s="13" t="s">
        <v>763</v>
      </c>
      <c r="G572" s="13" t="s">
        <v>161</v>
      </c>
      <c r="H572" s="17"/>
      <c r="I572" s="17"/>
      <c r="J572" s="13">
        <v>265.0</v>
      </c>
      <c r="K572" s="13">
        <v>6802.0</v>
      </c>
      <c r="L572" s="6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26"/>
      <c r="C573" s="127"/>
      <c r="D573" s="17"/>
      <c r="E573" s="17"/>
      <c r="F573" s="17"/>
      <c r="G573" s="17"/>
      <c r="H573" s="17"/>
      <c r="I573" s="17"/>
      <c r="J573" s="17"/>
      <c r="K573" s="17"/>
      <c r="L573" s="3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28"/>
      <c r="C574" s="129"/>
      <c r="D574" s="13">
        <v>3.0</v>
      </c>
      <c r="E574" s="40">
        <v>302.0</v>
      </c>
      <c r="F574" s="13" t="s">
        <v>764</v>
      </c>
      <c r="G574" s="13" t="s">
        <v>765</v>
      </c>
      <c r="H574" s="13" t="s">
        <v>22</v>
      </c>
      <c r="I574" s="13" t="s">
        <v>766</v>
      </c>
      <c r="J574" s="17"/>
      <c r="K574" s="17"/>
      <c r="L574" s="3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26"/>
      <c r="C575" s="127"/>
      <c r="D575" s="18"/>
      <c r="E575" s="18"/>
      <c r="F575" s="13" t="s">
        <v>764</v>
      </c>
      <c r="G575" s="13" t="s">
        <v>765</v>
      </c>
      <c r="H575" s="13" t="s">
        <v>22</v>
      </c>
      <c r="I575" s="13" t="s">
        <v>767</v>
      </c>
      <c r="J575" s="17"/>
      <c r="K575" s="17"/>
      <c r="L575" s="3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26"/>
      <c r="C576" s="127"/>
      <c r="D576" s="18"/>
      <c r="E576" s="18"/>
      <c r="F576" s="13"/>
      <c r="G576" s="13"/>
      <c r="H576" s="17"/>
      <c r="I576" s="17"/>
      <c r="J576" s="17"/>
      <c r="K576" s="17"/>
      <c r="L576" s="3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26"/>
      <c r="C577" s="127"/>
      <c r="D577" s="17"/>
      <c r="E577" s="17"/>
      <c r="F577" s="17"/>
      <c r="G577" s="17"/>
      <c r="H577" s="17"/>
      <c r="I577" s="17"/>
      <c r="J577" s="17"/>
      <c r="K577" s="17"/>
      <c r="L577" s="3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28"/>
      <c r="C578" s="129"/>
      <c r="D578" s="13">
        <v>3.0</v>
      </c>
      <c r="E578" s="13">
        <v>303.0</v>
      </c>
      <c r="F578" s="13" t="s">
        <v>768</v>
      </c>
      <c r="G578" s="13" t="s">
        <v>769</v>
      </c>
      <c r="H578" s="17"/>
      <c r="I578" s="17"/>
      <c r="J578" s="13">
        <v>207.0</v>
      </c>
      <c r="K578" s="13">
        <v>7463.0</v>
      </c>
      <c r="L578" s="6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28"/>
      <c r="C579" s="129"/>
      <c r="D579" s="13"/>
      <c r="E579" s="13"/>
      <c r="F579" s="13" t="s">
        <v>770</v>
      </c>
      <c r="G579" s="13" t="s">
        <v>771</v>
      </c>
      <c r="H579" s="13" t="s">
        <v>22</v>
      </c>
      <c r="I579" s="13" t="s">
        <v>772</v>
      </c>
      <c r="J579" s="17"/>
      <c r="K579" s="17"/>
      <c r="L579" s="3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26"/>
      <c r="C580" s="127"/>
      <c r="D580" s="17"/>
      <c r="E580" s="17"/>
      <c r="F580" s="17"/>
      <c r="G580" s="17"/>
      <c r="H580" s="17"/>
      <c r="I580" s="17"/>
      <c r="J580" s="17"/>
      <c r="K580" s="17"/>
      <c r="L580" s="3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28"/>
      <c r="C581" s="129"/>
      <c r="D581" s="13">
        <v>3.0</v>
      </c>
      <c r="E581" s="13">
        <v>304.0</v>
      </c>
      <c r="F581" s="13" t="s">
        <v>773</v>
      </c>
      <c r="G581" s="13" t="s">
        <v>774</v>
      </c>
      <c r="H581" s="17"/>
      <c r="I581" s="17"/>
      <c r="J581" s="13" t="s">
        <v>775</v>
      </c>
      <c r="K581" s="13" t="s">
        <v>776</v>
      </c>
      <c r="L581" s="6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26"/>
      <c r="C582" s="127"/>
      <c r="D582" s="17"/>
      <c r="E582" s="17"/>
      <c r="F582" s="17"/>
      <c r="G582" s="17"/>
      <c r="H582" s="17"/>
      <c r="I582" s="17"/>
      <c r="J582" s="13"/>
      <c r="K582" s="17"/>
      <c r="L582" s="3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26"/>
      <c r="C583" s="127"/>
      <c r="D583" s="17"/>
      <c r="E583" s="17"/>
      <c r="F583" s="17"/>
      <c r="G583" s="17"/>
      <c r="H583" s="17"/>
      <c r="I583" s="17"/>
      <c r="J583" s="17"/>
      <c r="K583" s="17"/>
      <c r="L583" s="3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26"/>
      <c r="C584" s="127"/>
      <c r="D584" s="17"/>
      <c r="E584" s="17"/>
      <c r="F584" s="17"/>
      <c r="G584" s="17"/>
      <c r="H584" s="17"/>
      <c r="I584" s="17"/>
      <c r="J584" s="17"/>
      <c r="K584" s="17"/>
      <c r="L584" s="3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81">
        <v>29.0</v>
      </c>
      <c r="C585" s="82">
        <v>2.0</v>
      </c>
      <c r="D585" s="13">
        <v>4.0</v>
      </c>
      <c r="E585" s="13">
        <v>401.0</v>
      </c>
      <c r="F585" s="13" t="s">
        <v>238</v>
      </c>
      <c r="G585" s="13" t="s">
        <v>777</v>
      </c>
      <c r="H585" s="17"/>
      <c r="I585" s="17"/>
      <c r="J585" s="17"/>
      <c r="K585" s="17"/>
      <c r="L585" s="3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26"/>
      <c r="C586" s="127"/>
      <c r="D586" s="18"/>
      <c r="E586" s="18"/>
      <c r="F586" s="13" t="s">
        <v>268</v>
      </c>
      <c r="G586" s="13" t="s">
        <v>239</v>
      </c>
      <c r="H586" s="13" t="s">
        <v>22</v>
      </c>
      <c r="I586" s="13" t="s">
        <v>778</v>
      </c>
      <c r="J586" s="13" t="s">
        <v>779</v>
      </c>
      <c r="K586" s="13">
        <v>8371.0</v>
      </c>
      <c r="L586" s="6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26"/>
      <c r="C587" s="127"/>
      <c r="D587" s="17"/>
      <c r="E587" s="17"/>
      <c r="F587" s="17"/>
      <c r="G587" s="17"/>
      <c r="H587" s="17"/>
      <c r="I587" s="17"/>
      <c r="J587" s="17"/>
      <c r="K587" s="17"/>
      <c r="L587" s="3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28"/>
      <c r="C588" s="18"/>
      <c r="D588" s="13">
        <v>4.0</v>
      </c>
      <c r="E588" s="13">
        <v>402.0</v>
      </c>
      <c r="F588" s="13" t="s">
        <v>620</v>
      </c>
      <c r="G588" s="13" t="s">
        <v>45</v>
      </c>
      <c r="H588" s="17"/>
      <c r="I588" s="17"/>
      <c r="J588" s="13">
        <v>163.0</v>
      </c>
      <c r="K588" s="13">
        <v>43505.0</v>
      </c>
      <c r="L588" s="6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6"/>
      <c r="C589" s="17"/>
      <c r="D589" s="18"/>
      <c r="E589" s="18"/>
      <c r="F589" s="13"/>
      <c r="G589" s="13"/>
      <c r="H589" s="17"/>
      <c r="I589" s="17"/>
      <c r="J589" s="17"/>
      <c r="K589" s="17"/>
      <c r="L589" s="3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98"/>
      <c r="C590" s="17"/>
      <c r="D590" s="18"/>
      <c r="E590" s="18"/>
      <c r="F590" s="41"/>
      <c r="G590" s="41"/>
      <c r="H590" s="17"/>
      <c r="I590" s="17"/>
      <c r="J590" s="17"/>
      <c r="K590" s="17"/>
      <c r="L590" s="3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98"/>
      <c r="C591" s="17"/>
      <c r="D591" s="18"/>
      <c r="E591" s="18"/>
      <c r="F591" s="13"/>
      <c r="G591" s="13"/>
      <c r="H591" s="17"/>
      <c r="I591" s="17"/>
      <c r="J591" s="17"/>
      <c r="K591" s="17"/>
      <c r="L591" s="3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98"/>
      <c r="C592" s="17"/>
      <c r="D592" s="17"/>
      <c r="E592" s="17"/>
      <c r="F592" s="17"/>
      <c r="G592" s="17"/>
      <c r="H592" s="17"/>
      <c r="I592" s="17"/>
      <c r="J592" s="17"/>
      <c r="K592" s="17"/>
      <c r="L592" s="3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00"/>
      <c r="C593" s="18"/>
      <c r="D593" s="13">
        <v>4.0</v>
      </c>
      <c r="E593" s="40">
        <v>403.0</v>
      </c>
      <c r="F593" s="13" t="s">
        <v>780</v>
      </c>
      <c r="G593" s="13" t="s">
        <v>781</v>
      </c>
      <c r="H593" s="17"/>
      <c r="I593" s="17"/>
      <c r="J593" s="13">
        <v>230.0</v>
      </c>
      <c r="K593" s="13" t="s">
        <v>60</v>
      </c>
      <c r="L593" s="6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98"/>
      <c r="C594" s="17"/>
      <c r="D594" s="18"/>
      <c r="E594" s="18"/>
      <c r="F594" s="13" t="s">
        <v>782</v>
      </c>
      <c r="G594" s="13" t="s">
        <v>781</v>
      </c>
      <c r="H594" s="17"/>
      <c r="I594" s="17"/>
      <c r="J594" s="17"/>
      <c r="K594" s="17"/>
      <c r="L594" s="3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98"/>
      <c r="C595" s="17"/>
      <c r="D595" s="17"/>
      <c r="E595" s="17"/>
      <c r="F595" s="17"/>
      <c r="G595" s="17"/>
      <c r="H595" s="17"/>
      <c r="I595" s="17"/>
      <c r="J595" s="17"/>
      <c r="K595" s="17"/>
      <c r="L595" s="3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00"/>
      <c r="C596" s="18"/>
      <c r="D596" s="13">
        <v>4.0</v>
      </c>
      <c r="E596" s="13">
        <v>404.0</v>
      </c>
      <c r="F596" s="13" t="s">
        <v>783</v>
      </c>
      <c r="G596" s="13" t="s">
        <v>784</v>
      </c>
      <c r="H596" s="17"/>
      <c r="I596" s="17"/>
      <c r="J596" s="17"/>
      <c r="K596" s="17"/>
      <c r="L596" s="3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98"/>
      <c r="C597" s="17"/>
      <c r="D597" s="18"/>
      <c r="E597" s="18"/>
      <c r="F597" s="13" t="s">
        <v>318</v>
      </c>
      <c r="G597" s="13" t="s">
        <v>785</v>
      </c>
      <c r="H597" s="17"/>
      <c r="I597" s="17"/>
      <c r="J597" s="17"/>
      <c r="K597" s="17"/>
      <c r="L597" s="3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98"/>
      <c r="C598" s="17"/>
      <c r="D598" s="18"/>
      <c r="E598" s="18"/>
      <c r="F598" s="13" t="s">
        <v>786</v>
      </c>
      <c r="G598" s="13" t="s">
        <v>784</v>
      </c>
      <c r="H598" s="18"/>
      <c r="I598" s="18"/>
      <c r="J598" s="13">
        <v>125.0</v>
      </c>
      <c r="K598" s="137">
        <v>62312.0</v>
      </c>
      <c r="L598" s="138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38"/>
      <c r="C599" s="17"/>
      <c r="D599" s="18"/>
      <c r="E599" s="18"/>
      <c r="F599" s="13" t="s">
        <v>63</v>
      </c>
      <c r="G599" s="13" t="s">
        <v>784</v>
      </c>
      <c r="H599" s="18"/>
      <c r="I599" s="17"/>
      <c r="J599" s="13">
        <v>126.0</v>
      </c>
      <c r="K599" s="13" t="s">
        <v>495</v>
      </c>
      <c r="L599" s="6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98"/>
      <c r="C600" s="17"/>
      <c r="D600" s="17"/>
      <c r="E600" s="17"/>
      <c r="F600" s="17"/>
      <c r="G600" s="17"/>
      <c r="H600" s="17"/>
      <c r="I600" s="17"/>
      <c r="J600" s="17"/>
      <c r="K600" s="17"/>
      <c r="L600" s="3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38">
        <v>30.0</v>
      </c>
      <c r="C601" s="18"/>
      <c r="D601" s="13" t="s">
        <v>19</v>
      </c>
      <c r="E601" s="40">
        <v>1.0</v>
      </c>
      <c r="F601" s="13" t="s">
        <v>787</v>
      </c>
      <c r="G601" s="13" t="s">
        <v>788</v>
      </c>
      <c r="H601" s="13" t="s">
        <v>22</v>
      </c>
      <c r="I601" s="13" t="s">
        <v>789</v>
      </c>
      <c r="J601" s="17"/>
      <c r="K601" s="17"/>
      <c r="L601" s="3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98"/>
      <c r="C602" s="17"/>
      <c r="D602" s="17"/>
      <c r="E602" s="17"/>
      <c r="F602" s="13" t="s">
        <v>790</v>
      </c>
      <c r="G602" s="17"/>
      <c r="H602" s="17"/>
      <c r="I602" s="13" t="s">
        <v>791</v>
      </c>
      <c r="J602" s="17"/>
      <c r="K602" s="17"/>
      <c r="L602" s="3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00"/>
      <c r="C603" s="18"/>
      <c r="D603" s="13"/>
      <c r="E603" s="13"/>
      <c r="F603" s="13"/>
      <c r="G603" s="13"/>
      <c r="H603" s="17"/>
      <c r="I603" s="17"/>
      <c r="J603" s="17"/>
      <c r="K603" s="17"/>
      <c r="L603" s="3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00"/>
      <c r="C604" s="18"/>
      <c r="D604" s="13" t="s">
        <v>19</v>
      </c>
      <c r="E604" s="13">
        <v>2.0</v>
      </c>
      <c r="F604" s="13" t="s">
        <v>792</v>
      </c>
      <c r="G604" s="13" t="s">
        <v>793</v>
      </c>
      <c r="H604" s="17"/>
      <c r="I604" s="17"/>
      <c r="J604" s="17"/>
      <c r="K604" s="17"/>
      <c r="L604" s="3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98"/>
      <c r="C605" s="17"/>
      <c r="D605" s="17"/>
      <c r="E605" s="17"/>
      <c r="F605" s="17"/>
      <c r="G605" s="17"/>
      <c r="H605" s="17"/>
      <c r="I605" s="17"/>
      <c r="J605" s="17"/>
      <c r="K605" s="17"/>
      <c r="L605" s="3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00"/>
      <c r="C606" s="18"/>
      <c r="D606" s="13" t="s">
        <v>19</v>
      </c>
      <c r="E606" s="13">
        <v>3.0</v>
      </c>
      <c r="F606" s="13" t="s">
        <v>794</v>
      </c>
      <c r="G606" s="13" t="s">
        <v>795</v>
      </c>
      <c r="H606" s="17"/>
      <c r="I606" s="17"/>
      <c r="J606" s="17"/>
      <c r="K606" s="17"/>
      <c r="L606" s="3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98"/>
      <c r="C607" s="17"/>
      <c r="D607" s="18"/>
      <c r="E607" s="18"/>
      <c r="F607" s="13" t="s">
        <v>796</v>
      </c>
      <c r="G607" s="13" t="s">
        <v>797</v>
      </c>
      <c r="H607" s="13" t="s">
        <v>22</v>
      </c>
      <c r="I607" s="13" t="s">
        <v>798</v>
      </c>
      <c r="J607" s="13">
        <v>38.0</v>
      </c>
      <c r="K607" s="34" t="s">
        <v>799</v>
      </c>
      <c r="L607" s="3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00"/>
      <c r="C608" s="18"/>
      <c r="D608" s="13"/>
      <c r="E608" s="13"/>
      <c r="F608" s="13"/>
      <c r="G608" s="13"/>
      <c r="H608" s="13"/>
      <c r="I608" s="13"/>
      <c r="J608" s="13"/>
      <c r="K608" s="75"/>
      <c r="L608" s="3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00"/>
      <c r="C609" s="18"/>
      <c r="D609" s="13" t="s">
        <v>19</v>
      </c>
      <c r="E609" s="13">
        <v>4.0</v>
      </c>
      <c r="F609" s="13" t="s">
        <v>800</v>
      </c>
      <c r="G609" s="13" t="s">
        <v>801</v>
      </c>
      <c r="H609" s="13" t="s">
        <v>22</v>
      </c>
      <c r="I609" s="13" t="s">
        <v>802</v>
      </c>
      <c r="J609" s="13">
        <v>39.0</v>
      </c>
      <c r="K609" s="36"/>
      <c r="L609" s="3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98"/>
      <c r="C610" s="17"/>
      <c r="D610" s="17"/>
      <c r="E610" s="17"/>
      <c r="F610" s="13" t="s">
        <v>800</v>
      </c>
      <c r="G610" s="13" t="s">
        <v>801</v>
      </c>
      <c r="H610" s="13" t="s">
        <v>22</v>
      </c>
      <c r="I610" s="13" t="s">
        <v>803</v>
      </c>
      <c r="J610" s="17"/>
      <c r="K610" s="17"/>
      <c r="L610" s="3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98"/>
      <c r="C611" s="17"/>
      <c r="D611" s="17"/>
      <c r="E611" s="17"/>
      <c r="F611" s="13" t="s">
        <v>800</v>
      </c>
      <c r="G611" s="13" t="s">
        <v>801</v>
      </c>
      <c r="H611" s="13"/>
      <c r="I611" s="13" t="s">
        <v>804</v>
      </c>
      <c r="J611" s="17"/>
      <c r="K611" s="17"/>
      <c r="L611" s="3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98"/>
      <c r="C612" s="17"/>
      <c r="D612" s="17"/>
      <c r="E612" s="17"/>
      <c r="F612" s="13"/>
      <c r="G612" s="13"/>
      <c r="H612" s="13"/>
      <c r="I612" s="13"/>
      <c r="J612" s="17"/>
      <c r="K612" s="17"/>
      <c r="L612" s="3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38">
        <v>30.0</v>
      </c>
      <c r="C613" s="18"/>
      <c r="D613" s="13" t="s">
        <v>19</v>
      </c>
      <c r="E613" s="13">
        <v>5.0</v>
      </c>
      <c r="F613" s="13" t="s">
        <v>805</v>
      </c>
      <c r="G613" s="13" t="s">
        <v>806</v>
      </c>
      <c r="H613" s="13" t="s">
        <v>47</v>
      </c>
      <c r="I613" s="13" t="s">
        <v>807</v>
      </c>
      <c r="J613" s="13" t="s">
        <v>808</v>
      </c>
      <c r="K613" s="13">
        <v>7234.0</v>
      </c>
      <c r="L613" s="6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98"/>
      <c r="C614" s="17"/>
      <c r="D614" s="17"/>
      <c r="E614" s="17"/>
      <c r="F614" s="13" t="s">
        <v>809</v>
      </c>
      <c r="G614" s="13" t="s">
        <v>332</v>
      </c>
      <c r="H614" s="17"/>
      <c r="I614" s="17"/>
      <c r="J614" s="13">
        <v>284.0</v>
      </c>
      <c r="K614" s="13">
        <v>6263.0</v>
      </c>
      <c r="L614" s="6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98"/>
      <c r="C615" s="17"/>
      <c r="D615" s="17"/>
      <c r="E615" s="17"/>
      <c r="F615" s="13" t="s">
        <v>286</v>
      </c>
      <c r="G615" s="13" t="s">
        <v>692</v>
      </c>
      <c r="H615" s="17"/>
      <c r="I615" s="17"/>
      <c r="J615" s="13">
        <v>278.0</v>
      </c>
      <c r="K615" s="13">
        <v>3672.0</v>
      </c>
      <c r="L615" s="6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98"/>
      <c r="C616" s="17"/>
      <c r="D616" s="17"/>
      <c r="E616" s="17"/>
      <c r="F616" s="13"/>
      <c r="G616" s="13"/>
      <c r="H616" s="17"/>
      <c r="I616" s="17"/>
      <c r="J616" s="13"/>
      <c r="K616" s="13"/>
      <c r="L616" s="6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00"/>
      <c r="C617" s="18"/>
      <c r="D617" s="13">
        <v>1.0</v>
      </c>
      <c r="E617" s="13">
        <v>101.0</v>
      </c>
      <c r="F617" s="13" t="s">
        <v>810</v>
      </c>
      <c r="G617" s="13" t="s">
        <v>409</v>
      </c>
      <c r="H617" s="13" t="s">
        <v>22</v>
      </c>
      <c r="I617" s="26" t="s">
        <v>811</v>
      </c>
      <c r="J617" s="13">
        <v>119.0</v>
      </c>
      <c r="K617" s="91">
        <v>3.0</v>
      </c>
      <c r="L617" s="73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98"/>
      <c r="C618" s="17"/>
      <c r="D618" s="18"/>
      <c r="E618" s="17"/>
      <c r="F618" s="13" t="s">
        <v>812</v>
      </c>
      <c r="G618" s="17"/>
      <c r="H618" s="18"/>
      <c r="I618" s="74"/>
      <c r="J618" s="13">
        <v>123.0</v>
      </c>
      <c r="K618" s="91">
        <v>3.0</v>
      </c>
      <c r="L618" s="73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98"/>
      <c r="C619" s="17"/>
      <c r="D619" s="18"/>
      <c r="E619" s="17"/>
      <c r="F619" s="13" t="s">
        <v>20</v>
      </c>
      <c r="G619" s="13" t="s">
        <v>573</v>
      </c>
      <c r="H619" s="18"/>
      <c r="I619" s="74"/>
      <c r="J619" s="13">
        <v>120.0</v>
      </c>
      <c r="K619" s="91">
        <v>3.0</v>
      </c>
      <c r="L619" s="73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98"/>
      <c r="C620" s="17"/>
      <c r="D620" s="18"/>
      <c r="E620" s="17"/>
      <c r="F620" s="13" t="s">
        <v>20</v>
      </c>
      <c r="G620" s="13" t="s">
        <v>813</v>
      </c>
      <c r="H620" s="18"/>
      <c r="I620" s="74"/>
      <c r="J620" s="13">
        <v>294.0</v>
      </c>
      <c r="K620" s="139">
        <v>5288.0</v>
      </c>
      <c r="L620" s="140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98"/>
      <c r="C621" s="17"/>
      <c r="D621" s="18"/>
      <c r="E621" s="17"/>
      <c r="F621" s="13"/>
      <c r="G621" s="17"/>
      <c r="H621" s="18"/>
      <c r="I621" s="74"/>
      <c r="J621" s="13"/>
      <c r="K621" s="93"/>
      <c r="L621" s="94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00"/>
      <c r="C622" s="18"/>
      <c r="D622" s="13">
        <v>1.0</v>
      </c>
      <c r="E622" s="13">
        <v>102.0</v>
      </c>
      <c r="F622" s="13" t="s">
        <v>792</v>
      </c>
      <c r="G622" s="13" t="s">
        <v>814</v>
      </c>
      <c r="H622" s="13" t="s">
        <v>22</v>
      </c>
      <c r="I622" s="13" t="s">
        <v>815</v>
      </c>
      <c r="J622" s="17"/>
      <c r="K622" s="17"/>
      <c r="L622" s="3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98"/>
      <c r="C623" s="17"/>
      <c r="D623" s="17"/>
      <c r="E623" s="17"/>
      <c r="F623" s="13" t="s">
        <v>816</v>
      </c>
      <c r="G623" s="17"/>
      <c r="H623" s="17"/>
      <c r="I623" s="17"/>
      <c r="J623" s="13">
        <v>401.0</v>
      </c>
      <c r="K623" s="13" t="s">
        <v>56</v>
      </c>
      <c r="L623" s="6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98"/>
      <c r="C624" s="17"/>
      <c r="D624" s="17"/>
      <c r="E624" s="17"/>
      <c r="F624" s="13"/>
      <c r="G624" s="17"/>
      <c r="H624" s="17"/>
      <c r="I624" s="17"/>
      <c r="J624" s="17"/>
      <c r="K624" s="17"/>
      <c r="L624" s="3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00"/>
      <c r="C625" s="18"/>
      <c r="D625" s="13">
        <v>1.0</v>
      </c>
      <c r="E625" s="40">
        <v>103.0</v>
      </c>
      <c r="F625" s="13" t="s">
        <v>553</v>
      </c>
      <c r="G625" s="13" t="s">
        <v>80</v>
      </c>
      <c r="H625" s="17"/>
      <c r="I625" s="17"/>
      <c r="J625" s="13">
        <v>323.0</v>
      </c>
      <c r="K625" s="13" t="s">
        <v>56</v>
      </c>
      <c r="L625" s="6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98"/>
      <c r="C626" s="17"/>
      <c r="D626" s="17"/>
      <c r="E626" s="17"/>
      <c r="F626" s="17"/>
      <c r="G626" s="17"/>
      <c r="H626" s="17"/>
      <c r="I626" s="17"/>
      <c r="J626" s="17"/>
      <c r="K626" s="17"/>
      <c r="L626" s="3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00"/>
      <c r="C627" s="18"/>
      <c r="D627" s="13">
        <v>1.0</v>
      </c>
      <c r="E627" s="13">
        <v>104.0</v>
      </c>
      <c r="F627" s="13" t="s">
        <v>311</v>
      </c>
      <c r="G627" s="13" t="s">
        <v>817</v>
      </c>
      <c r="H627" s="13" t="s">
        <v>47</v>
      </c>
      <c r="I627" s="13" t="s">
        <v>587</v>
      </c>
      <c r="J627" s="13">
        <v>286.0</v>
      </c>
      <c r="K627" s="14">
        <v>5847.0</v>
      </c>
      <c r="L627" s="6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98"/>
      <c r="C628" s="17"/>
      <c r="D628" s="17"/>
      <c r="E628" s="17"/>
      <c r="F628" s="13" t="s">
        <v>818</v>
      </c>
      <c r="G628" s="13" t="s">
        <v>819</v>
      </c>
      <c r="H628" s="17"/>
      <c r="I628" s="17"/>
      <c r="J628" s="13">
        <v>291.0</v>
      </c>
      <c r="K628" s="19"/>
      <c r="L628" s="6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98"/>
      <c r="C629" s="17"/>
      <c r="D629" s="17"/>
      <c r="E629" s="17"/>
      <c r="F629" s="13"/>
      <c r="G629" s="13"/>
      <c r="H629" s="13"/>
      <c r="I629" s="13"/>
      <c r="J629" s="13">
        <v>174.0</v>
      </c>
      <c r="K629" s="104">
        <v>40975.0</v>
      </c>
      <c r="L629" s="57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98"/>
      <c r="C630" s="17"/>
      <c r="D630" s="17"/>
      <c r="E630" s="17"/>
      <c r="F630" s="17"/>
      <c r="G630" s="17"/>
      <c r="H630" s="17"/>
      <c r="I630" s="17"/>
      <c r="J630" s="17"/>
      <c r="K630" s="17"/>
      <c r="L630" s="3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00"/>
      <c r="C631" s="18"/>
      <c r="D631" s="13">
        <v>1.0</v>
      </c>
      <c r="E631" s="40">
        <v>105.0</v>
      </c>
      <c r="F631" s="13" t="s">
        <v>490</v>
      </c>
      <c r="G631" s="13" t="s">
        <v>451</v>
      </c>
      <c r="H631" s="13" t="s">
        <v>22</v>
      </c>
      <c r="I631" s="13" t="s">
        <v>820</v>
      </c>
      <c r="J631" s="13" t="s">
        <v>821</v>
      </c>
      <c r="K631" s="26">
        <v>6.0</v>
      </c>
      <c r="L631" s="27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00"/>
      <c r="C632" s="18"/>
      <c r="D632" s="13"/>
      <c r="E632" s="40"/>
      <c r="F632" s="13"/>
      <c r="G632" s="13"/>
      <c r="H632" s="13"/>
      <c r="I632" s="13"/>
      <c r="J632" s="17"/>
      <c r="K632" s="17"/>
      <c r="L632" s="3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98"/>
      <c r="C633" s="17"/>
      <c r="D633" s="17"/>
      <c r="E633" s="17"/>
      <c r="F633" s="17"/>
      <c r="G633" s="17"/>
      <c r="H633" s="17"/>
      <c r="I633" s="17"/>
      <c r="J633" s="17"/>
      <c r="K633" s="17"/>
      <c r="L633" s="3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38">
        <v>30.0</v>
      </c>
      <c r="C634" s="18"/>
      <c r="D634" s="13">
        <v>2.0</v>
      </c>
      <c r="E634" s="13">
        <v>201.0</v>
      </c>
      <c r="F634" s="13" t="s">
        <v>345</v>
      </c>
      <c r="G634" s="13" t="s">
        <v>346</v>
      </c>
      <c r="H634" s="13" t="s">
        <v>22</v>
      </c>
      <c r="I634" s="26" t="s">
        <v>822</v>
      </c>
      <c r="J634" s="141">
        <v>54.0</v>
      </c>
      <c r="K634" s="142" t="s">
        <v>823</v>
      </c>
      <c r="L634" s="143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98"/>
      <c r="C635" s="17"/>
      <c r="D635" s="18"/>
      <c r="E635" s="18"/>
      <c r="F635" s="13"/>
      <c r="G635" s="13"/>
      <c r="H635" s="18"/>
      <c r="I635" s="74"/>
      <c r="K635" s="144"/>
      <c r="L635" s="73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98"/>
      <c r="C636" s="17"/>
      <c r="D636" s="18"/>
      <c r="E636" s="18"/>
      <c r="F636" s="13"/>
      <c r="G636" s="13"/>
      <c r="H636" s="18"/>
      <c r="I636" s="74"/>
      <c r="K636" s="144"/>
      <c r="L636" s="73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98"/>
      <c r="C637" s="17"/>
      <c r="D637" s="17"/>
      <c r="E637" s="17"/>
      <c r="F637" s="17"/>
      <c r="G637" s="17"/>
      <c r="H637" s="17"/>
      <c r="I637" s="17"/>
      <c r="J637" s="17"/>
      <c r="K637" s="17"/>
      <c r="L637" s="3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25"/>
      <c r="C638" s="18"/>
      <c r="D638" s="13">
        <v>2.0</v>
      </c>
      <c r="E638" s="13">
        <v>202.0</v>
      </c>
      <c r="F638" s="13" t="s">
        <v>547</v>
      </c>
      <c r="G638" s="13" t="s">
        <v>824</v>
      </c>
      <c r="H638" s="13" t="s">
        <v>22</v>
      </c>
      <c r="I638" s="13" t="s">
        <v>825</v>
      </c>
      <c r="J638" s="13">
        <v>55.0</v>
      </c>
      <c r="K638" s="145">
        <v>12.0</v>
      </c>
      <c r="L638" s="146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25"/>
      <c r="C639" s="18"/>
      <c r="D639" s="13"/>
      <c r="E639" s="13"/>
      <c r="F639" s="13"/>
      <c r="G639" s="13"/>
      <c r="H639" s="13"/>
      <c r="I639" s="13"/>
      <c r="J639" s="13" t="s">
        <v>826</v>
      </c>
      <c r="K639" s="30"/>
      <c r="L639" s="3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25"/>
      <c r="C640" s="18"/>
      <c r="D640" s="13"/>
      <c r="E640" s="13"/>
      <c r="F640" s="13"/>
      <c r="G640" s="13"/>
      <c r="H640" s="13"/>
      <c r="I640" s="13"/>
      <c r="J640" s="13">
        <v>57.0</v>
      </c>
      <c r="K640" s="30"/>
      <c r="L640" s="3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25"/>
      <c r="C641" s="18"/>
      <c r="D641" s="13"/>
      <c r="E641" s="13"/>
      <c r="F641" s="13"/>
      <c r="G641" s="13"/>
      <c r="H641" s="13"/>
      <c r="I641" s="13"/>
      <c r="K641" s="30"/>
      <c r="L641" s="3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98"/>
      <c r="C642" s="17"/>
      <c r="D642" s="17"/>
      <c r="E642" s="17"/>
      <c r="F642" s="17"/>
      <c r="G642" s="17"/>
      <c r="H642" s="17"/>
      <c r="I642" s="17"/>
      <c r="K642" s="17"/>
      <c r="L642" s="3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00"/>
      <c r="C643" s="18"/>
      <c r="D643" s="13">
        <v>2.0</v>
      </c>
      <c r="E643" s="13">
        <v>203.0</v>
      </c>
      <c r="F643" s="13" t="s">
        <v>286</v>
      </c>
      <c r="G643" s="13" t="s">
        <v>827</v>
      </c>
      <c r="H643" s="13" t="s">
        <v>22</v>
      </c>
      <c r="I643" s="13" t="s">
        <v>828</v>
      </c>
      <c r="J643" s="17"/>
      <c r="K643" s="17"/>
      <c r="L643" s="3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98"/>
      <c r="C644" s="17"/>
      <c r="D644" s="17"/>
      <c r="E644" s="17"/>
      <c r="F644" s="13" t="s">
        <v>829</v>
      </c>
      <c r="G644" s="13" t="s">
        <v>830</v>
      </c>
      <c r="H644" s="13" t="s">
        <v>47</v>
      </c>
      <c r="I644" s="13" t="s">
        <v>831</v>
      </c>
      <c r="J644" s="13">
        <v>370.0</v>
      </c>
      <c r="K644" s="26">
        <v>3.0</v>
      </c>
      <c r="L644" s="27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98"/>
      <c r="C645" s="17"/>
      <c r="D645" s="17"/>
      <c r="E645" s="17"/>
      <c r="F645" s="13" t="s">
        <v>829</v>
      </c>
      <c r="G645" s="13" t="s">
        <v>830</v>
      </c>
      <c r="H645" s="13" t="s">
        <v>47</v>
      </c>
      <c r="I645" s="13" t="s">
        <v>832</v>
      </c>
      <c r="J645" s="13">
        <v>371.0</v>
      </c>
      <c r="K645" s="26">
        <v>3.0</v>
      </c>
      <c r="L645" s="27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98"/>
      <c r="C646" s="17"/>
      <c r="D646" s="17"/>
      <c r="E646" s="17"/>
      <c r="F646" s="13" t="s">
        <v>829</v>
      </c>
      <c r="G646" s="13" t="s">
        <v>830</v>
      </c>
      <c r="H646" s="13"/>
      <c r="I646" s="13"/>
      <c r="J646" s="13">
        <v>395.0</v>
      </c>
      <c r="K646" s="14" t="s">
        <v>56</v>
      </c>
      <c r="L646" s="6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98"/>
      <c r="C647" s="17"/>
      <c r="D647" s="17"/>
      <c r="E647" s="17"/>
      <c r="F647" s="13" t="s">
        <v>829</v>
      </c>
      <c r="G647" s="13" t="s">
        <v>830</v>
      </c>
      <c r="H647" s="13"/>
      <c r="I647" s="13"/>
      <c r="J647" s="13">
        <v>396.0</v>
      </c>
      <c r="K647" s="19"/>
      <c r="L647" s="6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98"/>
      <c r="C648" s="17"/>
      <c r="D648" s="17"/>
      <c r="E648" s="17"/>
      <c r="F648" s="13"/>
      <c r="G648" s="13"/>
      <c r="H648" s="13"/>
      <c r="I648" s="13"/>
      <c r="J648" s="17"/>
      <c r="K648" s="17"/>
      <c r="L648" s="3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98"/>
      <c r="C649" s="17"/>
      <c r="D649" s="17"/>
      <c r="E649" s="17"/>
      <c r="F649" s="13"/>
      <c r="G649" s="13"/>
      <c r="H649" s="13"/>
      <c r="I649" s="13"/>
      <c r="J649" s="17"/>
      <c r="K649" s="17"/>
      <c r="L649" s="3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00"/>
      <c r="C650" s="18"/>
      <c r="D650" s="13">
        <v>2.0</v>
      </c>
      <c r="E650" s="13">
        <v>204.0</v>
      </c>
      <c r="F650" s="13" t="s">
        <v>123</v>
      </c>
      <c r="G650" s="13" t="s">
        <v>833</v>
      </c>
      <c r="H650" s="13" t="s">
        <v>22</v>
      </c>
      <c r="I650" s="13" t="s">
        <v>834</v>
      </c>
      <c r="J650" s="13">
        <v>153.0</v>
      </c>
      <c r="K650" s="56">
        <v>14520.0</v>
      </c>
      <c r="L650" s="57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00"/>
      <c r="C651" s="18"/>
      <c r="D651" s="13"/>
      <c r="E651" s="13"/>
      <c r="F651" s="13" t="s">
        <v>835</v>
      </c>
      <c r="G651" s="13" t="s">
        <v>836</v>
      </c>
      <c r="H651" s="17"/>
      <c r="I651" s="17"/>
      <c r="J651" s="13">
        <v>154.0</v>
      </c>
      <c r="K651" s="19"/>
      <c r="L651" s="57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00"/>
      <c r="C652" s="18"/>
      <c r="D652" s="13"/>
      <c r="E652" s="13"/>
      <c r="F652" s="13"/>
      <c r="G652" s="13"/>
      <c r="H652" s="17"/>
      <c r="I652" s="17"/>
      <c r="J652" s="13"/>
      <c r="K652" s="17"/>
      <c r="L652" s="3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98"/>
      <c r="C653" s="17"/>
      <c r="D653" s="17"/>
      <c r="E653" s="17"/>
      <c r="F653" s="17"/>
      <c r="G653" s="17"/>
      <c r="H653" s="17"/>
      <c r="I653" s="17"/>
      <c r="J653" s="17"/>
      <c r="K653" s="17"/>
      <c r="L653" s="3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00"/>
      <c r="C654" s="18"/>
      <c r="D654" s="13">
        <v>2.0</v>
      </c>
      <c r="E654" s="13">
        <v>205.0</v>
      </c>
      <c r="F654" s="13" t="s">
        <v>837</v>
      </c>
      <c r="G654" s="13" t="s">
        <v>680</v>
      </c>
      <c r="H654" s="13" t="s">
        <v>47</v>
      </c>
      <c r="I654" s="13" t="s">
        <v>838</v>
      </c>
      <c r="J654" s="13">
        <v>76.0</v>
      </c>
      <c r="K654" s="147">
        <v>50087.0</v>
      </c>
      <c r="L654" s="3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98"/>
      <c r="C655" s="17"/>
      <c r="D655" s="18"/>
      <c r="E655" s="18"/>
      <c r="F655" s="13" t="s">
        <v>839</v>
      </c>
      <c r="G655" s="13" t="s">
        <v>840</v>
      </c>
      <c r="H655" s="18"/>
      <c r="I655" s="18"/>
      <c r="J655" s="13">
        <v>77.0</v>
      </c>
      <c r="K655" s="148"/>
      <c r="L655" s="3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98"/>
      <c r="C656" s="17"/>
      <c r="D656" s="18"/>
      <c r="E656" s="18"/>
      <c r="F656" s="13" t="s">
        <v>63</v>
      </c>
      <c r="G656" s="13" t="s">
        <v>680</v>
      </c>
      <c r="H656" s="18"/>
      <c r="I656" s="18"/>
      <c r="J656" s="13">
        <v>75.0</v>
      </c>
      <c r="K656" s="148"/>
      <c r="L656" s="3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98"/>
      <c r="C657" s="17"/>
      <c r="D657" s="18"/>
      <c r="E657" s="18"/>
      <c r="F657" s="13"/>
      <c r="G657" s="13"/>
      <c r="H657" s="18"/>
      <c r="I657" s="18"/>
      <c r="J657" s="13"/>
      <c r="K657" s="59"/>
      <c r="L657" s="6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38">
        <v>30.0</v>
      </c>
      <c r="C658" s="18"/>
      <c r="D658" s="13">
        <v>3.0</v>
      </c>
      <c r="E658" s="13">
        <v>301.0</v>
      </c>
      <c r="F658" s="149" t="s">
        <v>841</v>
      </c>
      <c r="G658" s="149" t="s">
        <v>423</v>
      </c>
      <c r="H658" s="18"/>
      <c r="I658" s="149" t="s">
        <v>842</v>
      </c>
      <c r="J658" s="41"/>
      <c r="K658" s="59"/>
      <c r="L658" s="6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98"/>
      <c r="C659" s="17"/>
      <c r="D659" s="17"/>
      <c r="E659" s="17"/>
      <c r="F659" s="13" t="s">
        <v>829</v>
      </c>
      <c r="G659" s="13" t="s">
        <v>843</v>
      </c>
      <c r="H659" s="17"/>
      <c r="I659" s="13" t="s">
        <v>844</v>
      </c>
      <c r="J659" s="17"/>
      <c r="K659" s="17"/>
      <c r="L659" s="3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98"/>
      <c r="C660" s="17"/>
      <c r="D660" s="17"/>
      <c r="E660" s="17"/>
      <c r="F660" s="13" t="s">
        <v>845</v>
      </c>
      <c r="G660" s="13" t="s">
        <v>846</v>
      </c>
      <c r="H660" s="13" t="s">
        <v>22</v>
      </c>
      <c r="I660" s="13" t="s">
        <v>847</v>
      </c>
      <c r="J660" s="17"/>
      <c r="K660" s="17"/>
      <c r="L660" s="3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98"/>
      <c r="C661" s="17"/>
      <c r="D661" s="17"/>
      <c r="E661" s="17"/>
      <c r="F661" s="13"/>
      <c r="G661" s="13"/>
      <c r="H661" s="17"/>
      <c r="I661" s="13"/>
      <c r="J661" s="17"/>
      <c r="K661" s="17"/>
      <c r="L661" s="3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00"/>
      <c r="C662" s="18"/>
      <c r="D662" s="13">
        <v>3.0</v>
      </c>
      <c r="E662" s="13">
        <v>302.0</v>
      </c>
      <c r="F662" s="13" t="s">
        <v>105</v>
      </c>
      <c r="G662" s="13" t="s">
        <v>848</v>
      </c>
      <c r="H662" s="13" t="s">
        <v>22</v>
      </c>
      <c r="I662" s="13" t="s">
        <v>849</v>
      </c>
      <c r="J662" s="17"/>
      <c r="K662" s="17"/>
      <c r="L662" s="3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98"/>
      <c r="C663" s="17"/>
      <c r="D663" s="17"/>
      <c r="E663" s="17"/>
      <c r="F663" s="13" t="s">
        <v>850</v>
      </c>
      <c r="G663" s="13" t="s">
        <v>851</v>
      </c>
      <c r="H663" s="13" t="s">
        <v>47</v>
      </c>
      <c r="I663" s="13" t="s">
        <v>852</v>
      </c>
      <c r="J663" s="17"/>
      <c r="K663" s="17"/>
      <c r="L663" s="3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98"/>
      <c r="C664" s="17"/>
      <c r="D664" s="17"/>
      <c r="E664" s="17"/>
      <c r="F664" s="17"/>
      <c r="G664" s="17"/>
      <c r="H664" s="17"/>
      <c r="I664" s="17"/>
      <c r="J664" s="17"/>
      <c r="K664" s="17"/>
      <c r="L664" s="3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00"/>
      <c r="C665" s="18"/>
      <c r="D665" s="13">
        <v>3.0</v>
      </c>
      <c r="E665" s="13">
        <v>303.0</v>
      </c>
      <c r="F665" s="13" t="s">
        <v>853</v>
      </c>
      <c r="G665" s="13" t="s">
        <v>738</v>
      </c>
      <c r="H665" s="13" t="s">
        <v>22</v>
      </c>
      <c r="I665" s="13" t="s">
        <v>854</v>
      </c>
      <c r="J665" s="13">
        <v>337.0</v>
      </c>
      <c r="K665" s="13" t="s">
        <v>56</v>
      </c>
      <c r="L665" s="6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98"/>
      <c r="C666" s="17"/>
      <c r="D666" s="17"/>
      <c r="E666" s="17"/>
      <c r="F666" s="13" t="s">
        <v>666</v>
      </c>
      <c r="G666" s="13" t="s">
        <v>692</v>
      </c>
      <c r="H666" s="150" t="s">
        <v>22</v>
      </c>
      <c r="I666" s="150" t="s">
        <v>855</v>
      </c>
      <c r="J666" s="13">
        <v>423.0</v>
      </c>
      <c r="K666" s="13" t="s">
        <v>121</v>
      </c>
      <c r="L666" s="3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98"/>
      <c r="C667" s="17"/>
      <c r="D667" s="17"/>
      <c r="E667" s="17"/>
      <c r="F667" s="13" t="s">
        <v>666</v>
      </c>
      <c r="G667" s="13" t="s">
        <v>692</v>
      </c>
      <c r="H667" s="77" t="s">
        <v>260</v>
      </c>
      <c r="I667" s="77" t="s">
        <v>856</v>
      </c>
      <c r="J667" s="17"/>
      <c r="K667" s="17"/>
      <c r="L667" s="3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00"/>
      <c r="C668" s="18"/>
      <c r="D668" s="13"/>
      <c r="E668" s="13"/>
      <c r="F668" s="13"/>
      <c r="G668" s="13"/>
      <c r="H668" s="17"/>
      <c r="I668" s="17"/>
      <c r="J668" s="17"/>
      <c r="K668" s="17"/>
      <c r="L668" s="3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00"/>
      <c r="C669" s="18"/>
      <c r="D669" s="13">
        <v>3.0</v>
      </c>
      <c r="E669" s="13">
        <v>304.0</v>
      </c>
      <c r="F669" s="13" t="s">
        <v>857</v>
      </c>
      <c r="G669" s="13" t="s">
        <v>858</v>
      </c>
      <c r="H669" s="17"/>
      <c r="I669" s="17"/>
      <c r="J669" s="17"/>
      <c r="K669" s="17"/>
      <c r="L669" s="3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98"/>
      <c r="C670" s="17"/>
      <c r="D670" s="17"/>
      <c r="E670" s="17"/>
      <c r="F670" s="17"/>
      <c r="G670" s="17"/>
      <c r="H670" s="17"/>
      <c r="I670" s="17"/>
      <c r="J670" s="17"/>
      <c r="K670" s="17"/>
      <c r="L670" s="3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00"/>
      <c r="C671" s="18"/>
      <c r="D671" s="13">
        <v>3.0</v>
      </c>
      <c r="E671" s="13">
        <v>305.0</v>
      </c>
      <c r="F671" s="13" t="s">
        <v>859</v>
      </c>
      <c r="G671" s="13" t="s">
        <v>641</v>
      </c>
      <c r="H671" s="13" t="s">
        <v>22</v>
      </c>
      <c r="I671" s="13" t="s">
        <v>860</v>
      </c>
      <c r="J671" s="13">
        <v>191.0</v>
      </c>
      <c r="K671" s="151">
        <v>12.0</v>
      </c>
      <c r="L671" s="15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00"/>
      <c r="C672" s="18"/>
      <c r="D672" s="13"/>
      <c r="E672" s="13"/>
      <c r="F672" s="13" t="s">
        <v>853</v>
      </c>
      <c r="G672" s="13" t="s">
        <v>861</v>
      </c>
      <c r="H672" s="17"/>
      <c r="I672" s="17"/>
      <c r="J672" s="13">
        <v>192.0</v>
      </c>
      <c r="K672" s="67"/>
      <c r="L672" s="15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00"/>
      <c r="C673" s="18"/>
      <c r="D673" s="13"/>
      <c r="E673" s="13"/>
      <c r="F673" s="13" t="s">
        <v>862</v>
      </c>
      <c r="G673" s="13" t="s">
        <v>641</v>
      </c>
      <c r="H673" s="17"/>
      <c r="I673" s="17"/>
      <c r="J673" s="13">
        <v>193.0</v>
      </c>
      <c r="K673" s="67"/>
      <c r="L673" s="15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98"/>
      <c r="C674" s="17"/>
      <c r="D674" s="17"/>
      <c r="E674" s="17"/>
      <c r="F674" s="13" t="s">
        <v>863</v>
      </c>
      <c r="G674" s="13" t="s">
        <v>641</v>
      </c>
      <c r="H674" s="17"/>
      <c r="I674" s="17"/>
      <c r="J674" s="13">
        <v>219.0</v>
      </c>
      <c r="K674" s="19"/>
      <c r="L674" s="15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98"/>
      <c r="C675" s="17"/>
      <c r="D675" s="17"/>
      <c r="E675" s="17"/>
      <c r="F675" s="13"/>
      <c r="G675" s="13"/>
      <c r="H675" s="17"/>
      <c r="I675" s="17"/>
      <c r="J675" s="17"/>
      <c r="K675" s="17"/>
      <c r="L675" s="3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38">
        <v>30.0</v>
      </c>
      <c r="C676" s="18"/>
      <c r="D676" s="13">
        <v>4.0</v>
      </c>
      <c r="E676" s="13">
        <v>401.0</v>
      </c>
      <c r="F676" s="13" t="s">
        <v>864</v>
      </c>
      <c r="G676" s="13" t="s">
        <v>509</v>
      </c>
      <c r="H676" s="13" t="s">
        <v>22</v>
      </c>
      <c r="I676" s="18"/>
      <c r="J676" s="13">
        <v>37.0</v>
      </c>
      <c r="K676" s="30">
        <v>5023.0</v>
      </c>
      <c r="L676" s="3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98"/>
      <c r="C677" s="17"/>
      <c r="D677" s="17"/>
      <c r="E677" s="17"/>
      <c r="F677" s="17"/>
      <c r="G677" s="17"/>
      <c r="H677" s="17"/>
      <c r="I677" s="17"/>
      <c r="J677" s="17"/>
      <c r="K677" s="17"/>
      <c r="L677" s="3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00"/>
      <c r="C678" s="18"/>
      <c r="D678" s="13">
        <v>4.0</v>
      </c>
      <c r="E678" s="13">
        <v>402.0</v>
      </c>
      <c r="F678" s="13" t="s">
        <v>865</v>
      </c>
      <c r="G678" s="13" t="s">
        <v>866</v>
      </c>
      <c r="H678" s="13" t="s">
        <v>22</v>
      </c>
      <c r="I678" s="13" t="s">
        <v>867</v>
      </c>
      <c r="J678" s="13">
        <v>292.0</v>
      </c>
      <c r="K678" s="26">
        <v>3.0</v>
      </c>
      <c r="L678" s="27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00"/>
      <c r="C679" s="18"/>
      <c r="D679" s="13"/>
      <c r="E679" s="13"/>
      <c r="F679" s="13" t="s">
        <v>865</v>
      </c>
      <c r="G679" s="13" t="s">
        <v>866</v>
      </c>
      <c r="H679" s="13" t="s">
        <v>22</v>
      </c>
      <c r="I679" s="13" t="s">
        <v>868</v>
      </c>
      <c r="J679" s="13">
        <v>293.0</v>
      </c>
      <c r="K679" s="13">
        <v>4253.0</v>
      </c>
      <c r="L679" s="6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98"/>
      <c r="C680" s="17"/>
      <c r="D680" s="17"/>
      <c r="E680" s="17"/>
      <c r="F680" s="17"/>
      <c r="G680" s="17"/>
      <c r="H680" s="17"/>
      <c r="I680" s="17"/>
      <c r="J680" s="17"/>
      <c r="K680" s="17"/>
      <c r="L680" s="3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00"/>
      <c r="C681" s="18"/>
      <c r="D681" s="13">
        <v>4.0</v>
      </c>
      <c r="E681" s="13">
        <v>403.0</v>
      </c>
      <c r="F681" s="13" t="s">
        <v>468</v>
      </c>
      <c r="G681" s="13" t="s">
        <v>222</v>
      </c>
      <c r="H681" s="13" t="s">
        <v>47</v>
      </c>
      <c r="I681" s="13" t="s">
        <v>869</v>
      </c>
      <c r="J681" s="17"/>
      <c r="K681" s="17"/>
      <c r="L681" s="3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00"/>
      <c r="C682" s="18"/>
      <c r="D682" s="13"/>
      <c r="E682" s="13"/>
      <c r="F682" s="13" t="s">
        <v>870</v>
      </c>
      <c r="G682" s="13" t="s">
        <v>222</v>
      </c>
      <c r="H682" s="13"/>
      <c r="I682" s="13" t="s">
        <v>871</v>
      </c>
      <c r="J682" s="13">
        <v>224.0</v>
      </c>
      <c r="K682" s="13" t="s">
        <v>60</v>
      </c>
      <c r="L682" s="6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00"/>
      <c r="C683" s="18"/>
      <c r="D683" s="13"/>
      <c r="E683" s="13"/>
      <c r="F683" s="13" t="s">
        <v>872</v>
      </c>
      <c r="G683" s="13" t="s">
        <v>873</v>
      </c>
      <c r="H683" s="13"/>
      <c r="I683" s="13"/>
      <c r="J683" s="13">
        <v>223.0</v>
      </c>
      <c r="K683" s="17"/>
      <c r="L683" s="3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98"/>
      <c r="C684" s="17"/>
      <c r="D684" s="17"/>
      <c r="E684" s="17"/>
      <c r="F684" s="17"/>
      <c r="G684" s="17"/>
      <c r="H684" s="17"/>
      <c r="I684" s="17"/>
      <c r="J684" s="17"/>
      <c r="K684" s="17"/>
      <c r="L684" s="3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00"/>
      <c r="C685" s="18"/>
      <c r="D685" s="13">
        <v>4.0</v>
      </c>
      <c r="E685" s="13">
        <v>404.0</v>
      </c>
      <c r="F685" s="13" t="s">
        <v>874</v>
      </c>
      <c r="G685" s="13" t="s">
        <v>875</v>
      </c>
      <c r="H685" s="13" t="s">
        <v>22</v>
      </c>
      <c r="I685" s="26" t="s">
        <v>876</v>
      </c>
      <c r="J685" s="13" t="s">
        <v>877</v>
      </c>
      <c r="K685" s="91">
        <v>12.0</v>
      </c>
      <c r="L685" s="73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98"/>
      <c r="C686" s="17"/>
      <c r="D686" s="17"/>
      <c r="E686" s="17"/>
      <c r="F686" s="17"/>
      <c r="G686" s="17"/>
      <c r="H686" s="17"/>
      <c r="I686" s="17"/>
      <c r="J686" s="17"/>
      <c r="K686" s="17"/>
      <c r="L686" s="3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00"/>
      <c r="C687" s="18"/>
      <c r="D687" s="13">
        <v>4.0</v>
      </c>
      <c r="E687" s="13">
        <v>405.0</v>
      </c>
      <c r="F687" s="13" t="s">
        <v>452</v>
      </c>
      <c r="G687" s="13" t="s">
        <v>878</v>
      </c>
      <c r="H687" s="13" t="s">
        <v>22</v>
      </c>
      <c r="I687" s="13" t="s">
        <v>879</v>
      </c>
      <c r="J687" s="6">
        <v>295.0</v>
      </c>
      <c r="K687" s="35">
        <v>2980.0</v>
      </c>
      <c r="L687" s="6"/>
      <c r="M687" s="2" t="s">
        <v>880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98"/>
      <c r="C688" s="17"/>
      <c r="D688" s="17"/>
      <c r="E688" s="17"/>
      <c r="F688" s="13" t="s">
        <v>881</v>
      </c>
      <c r="G688" s="17"/>
      <c r="H688" s="17"/>
      <c r="I688" s="17"/>
      <c r="J688" s="29" t="s">
        <v>882</v>
      </c>
      <c r="K688" s="13" t="s">
        <v>516</v>
      </c>
      <c r="L688" s="6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98"/>
      <c r="C689" s="17"/>
      <c r="D689" s="17"/>
      <c r="E689" s="17"/>
      <c r="F689" s="17"/>
      <c r="G689" s="17"/>
      <c r="H689" s="17"/>
      <c r="I689" s="17"/>
      <c r="J689" s="17"/>
      <c r="K689" s="17"/>
      <c r="L689" s="3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81">
        <v>31.0</v>
      </c>
      <c r="C690" s="18"/>
      <c r="D690" s="13" t="s">
        <v>19</v>
      </c>
      <c r="E690" s="13">
        <v>1.0</v>
      </c>
      <c r="F690" s="13" t="s">
        <v>883</v>
      </c>
      <c r="G690" s="13" t="s">
        <v>509</v>
      </c>
      <c r="H690" s="13" t="s">
        <v>22</v>
      </c>
      <c r="I690" s="17"/>
      <c r="J690" s="13"/>
      <c r="K690" s="17"/>
      <c r="L690" s="3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98"/>
      <c r="C691" s="17"/>
      <c r="D691" s="18"/>
      <c r="E691" s="18"/>
      <c r="F691" s="13" t="s">
        <v>884</v>
      </c>
      <c r="G691" s="13" t="s">
        <v>509</v>
      </c>
      <c r="H691" s="17"/>
      <c r="I691" s="17"/>
      <c r="J691" s="13">
        <v>202.0</v>
      </c>
      <c r="K691" s="26">
        <v>3.0</v>
      </c>
      <c r="L691" s="27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98"/>
      <c r="C692" s="17"/>
      <c r="D692" s="17"/>
      <c r="E692" s="17"/>
      <c r="F692" s="13" t="s">
        <v>885</v>
      </c>
      <c r="G692" s="13" t="s">
        <v>813</v>
      </c>
      <c r="H692" s="13" t="s">
        <v>22</v>
      </c>
      <c r="I692" s="13" t="s">
        <v>886</v>
      </c>
      <c r="J692" s="17"/>
      <c r="K692" s="17"/>
      <c r="L692" s="3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98"/>
      <c r="C693" s="17"/>
      <c r="D693" s="17"/>
      <c r="E693" s="17"/>
      <c r="F693" s="13" t="s">
        <v>887</v>
      </c>
      <c r="G693" s="13" t="s">
        <v>813</v>
      </c>
      <c r="H693" s="13" t="s">
        <v>22</v>
      </c>
      <c r="I693" s="13"/>
      <c r="J693" s="17"/>
      <c r="K693" s="17"/>
      <c r="L693" s="3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98"/>
      <c r="C694" s="17"/>
      <c r="D694" s="17"/>
      <c r="E694" s="17"/>
      <c r="F694" s="13" t="s">
        <v>888</v>
      </c>
      <c r="G694" s="13" t="s">
        <v>813</v>
      </c>
      <c r="H694" s="13"/>
      <c r="I694" s="13"/>
      <c r="J694" s="13">
        <v>203.0</v>
      </c>
      <c r="K694" s="26">
        <v>3.0</v>
      </c>
      <c r="L694" s="27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98"/>
      <c r="C695" s="17"/>
      <c r="D695" s="17"/>
      <c r="E695" s="17"/>
      <c r="F695" s="13"/>
      <c r="G695" s="13"/>
      <c r="H695" s="13"/>
      <c r="I695" s="13"/>
      <c r="J695" s="17"/>
      <c r="K695" s="17"/>
      <c r="L695" s="3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25"/>
      <c r="C696" s="18"/>
      <c r="D696" s="13" t="s">
        <v>19</v>
      </c>
      <c r="E696" s="13">
        <v>2.0</v>
      </c>
      <c r="F696" s="13" t="s">
        <v>889</v>
      </c>
      <c r="G696" s="13" t="s">
        <v>641</v>
      </c>
      <c r="H696" s="13" t="s">
        <v>22</v>
      </c>
      <c r="I696" s="13" t="s">
        <v>890</v>
      </c>
      <c r="J696" s="17"/>
      <c r="K696" s="17"/>
      <c r="L696" s="3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25"/>
      <c r="C697" s="18"/>
      <c r="D697" s="13"/>
      <c r="E697" s="13"/>
      <c r="F697" s="13" t="s">
        <v>889</v>
      </c>
      <c r="G697" s="13" t="s">
        <v>641</v>
      </c>
      <c r="H697" s="13" t="s">
        <v>22</v>
      </c>
      <c r="I697" s="13" t="s">
        <v>891</v>
      </c>
      <c r="J697" s="17"/>
      <c r="K697" s="17"/>
      <c r="L697" s="3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69"/>
      <c r="C698" s="16"/>
      <c r="D698" s="17"/>
      <c r="E698" s="17"/>
      <c r="F698" s="13" t="s">
        <v>892</v>
      </c>
      <c r="G698" s="13" t="s">
        <v>641</v>
      </c>
      <c r="H698" s="13" t="s">
        <v>22</v>
      </c>
      <c r="I698" s="13" t="s">
        <v>893</v>
      </c>
      <c r="J698" s="17"/>
      <c r="K698" s="17"/>
      <c r="L698" s="3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69"/>
      <c r="C699" s="17"/>
      <c r="D699" s="18"/>
      <c r="E699" s="18"/>
      <c r="F699" s="13" t="s">
        <v>894</v>
      </c>
      <c r="G699" s="13" t="s">
        <v>641</v>
      </c>
      <c r="H699" s="17"/>
      <c r="I699" s="17"/>
      <c r="J699" s="17"/>
      <c r="K699" s="17"/>
      <c r="L699" s="3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6"/>
      <c r="C700" s="17"/>
      <c r="D700" s="17"/>
      <c r="E700" s="17"/>
      <c r="F700" s="17"/>
      <c r="G700" s="17"/>
      <c r="H700" s="17"/>
      <c r="I700" s="17"/>
      <c r="J700" s="17"/>
      <c r="K700" s="17"/>
      <c r="L700" s="3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25"/>
      <c r="C701" s="18"/>
      <c r="D701" s="13" t="s">
        <v>19</v>
      </c>
      <c r="E701" s="13">
        <v>3.0</v>
      </c>
      <c r="F701" s="13" t="s">
        <v>473</v>
      </c>
      <c r="G701" s="13" t="s">
        <v>319</v>
      </c>
      <c r="H701" s="13" t="s">
        <v>22</v>
      </c>
      <c r="I701" s="13" t="s">
        <v>895</v>
      </c>
      <c r="J701" s="17"/>
      <c r="K701" s="17"/>
      <c r="L701" s="3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6"/>
      <c r="C702" s="17"/>
      <c r="D702" s="17"/>
      <c r="E702" s="17"/>
      <c r="F702" s="13" t="s">
        <v>896</v>
      </c>
      <c r="G702" s="13" t="s">
        <v>897</v>
      </c>
      <c r="H702" s="17"/>
      <c r="I702" s="17"/>
      <c r="J702" s="13">
        <v>312.0</v>
      </c>
      <c r="K702" s="13" t="s">
        <v>898</v>
      </c>
      <c r="L702" s="6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6"/>
      <c r="C703" s="17"/>
      <c r="D703" s="17"/>
      <c r="E703" s="17"/>
      <c r="F703" s="13"/>
      <c r="G703" s="13"/>
      <c r="H703" s="17"/>
      <c r="I703" s="17"/>
      <c r="J703" s="13"/>
      <c r="K703" s="13"/>
      <c r="L703" s="6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25"/>
      <c r="C704" s="18"/>
      <c r="D704" s="13" t="s">
        <v>19</v>
      </c>
      <c r="E704" s="13">
        <v>4.0</v>
      </c>
      <c r="F704" s="13" t="s">
        <v>899</v>
      </c>
      <c r="G704" s="13" t="s">
        <v>813</v>
      </c>
      <c r="H704" s="13" t="s">
        <v>22</v>
      </c>
      <c r="I704" s="13" t="s">
        <v>900</v>
      </c>
      <c r="J704" s="13">
        <v>338.0</v>
      </c>
      <c r="K704" s="13" t="s">
        <v>56</v>
      </c>
      <c r="L704" s="6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25"/>
      <c r="C705" s="18"/>
      <c r="D705" s="13"/>
      <c r="E705" s="13"/>
      <c r="F705" s="13"/>
      <c r="G705" s="13"/>
      <c r="H705" s="13"/>
      <c r="I705" s="13"/>
      <c r="J705" s="17"/>
      <c r="K705" s="17"/>
      <c r="L705" s="3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25"/>
      <c r="C706" s="18"/>
      <c r="D706" s="13"/>
      <c r="E706" s="13"/>
      <c r="F706" s="13" t="s">
        <v>899</v>
      </c>
      <c r="G706" s="13" t="s">
        <v>813</v>
      </c>
      <c r="H706" s="13" t="s">
        <v>22</v>
      </c>
      <c r="I706" s="13" t="s">
        <v>901</v>
      </c>
      <c r="J706" s="17"/>
      <c r="K706" s="17"/>
      <c r="L706" s="3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6"/>
      <c r="C707" s="17"/>
      <c r="D707" s="18"/>
      <c r="E707" s="18"/>
      <c r="F707" s="13"/>
      <c r="G707" s="13"/>
      <c r="H707" s="17"/>
      <c r="I707" s="17"/>
      <c r="J707" s="17"/>
      <c r="K707" s="17"/>
      <c r="L707" s="3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6"/>
      <c r="C708" s="17"/>
      <c r="D708" s="13" t="s">
        <v>19</v>
      </c>
      <c r="E708" s="40">
        <v>5.0</v>
      </c>
      <c r="F708" s="13" t="s">
        <v>902</v>
      </c>
      <c r="G708" s="13" t="s">
        <v>903</v>
      </c>
      <c r="H708" s="13" t="s">
        <v>47</v>
      </c>
      <c r="I708" s="13" t="s">
        <v>904</v>
      </c>
      <c r="J708" s="13">
        <v>387.0</v>
      </c>
      <c r="K708" s="13" t="s">
        <v>257</v>
      </c>
      <c r="L708" s="3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6"/>
      <c r="C709" s="17"/>
      <c r="D709" s="17"/>
      <c r="E709" s="17"/>
      <c r="F709" s="13" t="s">
        <v>905</v>
      </c>
      <c r="G709" s="17"/>
      <c r="H709" s="17"/>
      <c r="I709" s="17"/>
      <c r="J709" s="13">
        <v>422.0</v>
      </c>
      <c r="K709" s="13" t="s">
        <v>121</v>
      </c>
      <c r="L709" s="3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6"/>
      <c r="C710" s="17"/>
      <c r="D710" s="17"/>
      <c r="E710" s="17"/>
      <c r="F710" s="17"/>
      <c r="G710" s="17"/>
      <c r="H710" s="17"/>
      <c r="I710" s="17"/>
      <c r="J710" s="17"/>
      <c r="K710" s="17"/>
      <c r="L710" s="3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25"/>
      <c r="C711" s="18"/>
      <c r="D711" s="13">
        <v>1.0</v>
      </c>
      <c r="E711" s="13">
        <v>101.0</v>
      </c>
      <c r="F711" s="13" t="s">
        <v>165</v>
      </c>
      <c r="G711" s="13" t="s">
        <v>906</v>
      </c>
      <c r="H711" s="13" t="s">
        <v>22</v>
      </c>
      <c r="I711" s="13" t="s">
        <v>907</v>
      </c>
      <c r="J711" s="17"/>
      <c r="K711" s="17"/>
      <c r="L711" s="3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6"/>
      <c r="C712" s="17"/>
      <c r="D712" s="18"/>
      <c r="E712" s="18"/>
      <c r="F712" s="13" t="s">
        <v>908</v>
      </c>
      <c r="G712" s="13" t="s">
        <v>909</v>
      </c>
      <c r="H712" s="17"/>
      <c r="I712" s="17"/>
      <c r="J712" s="17"/>
      <c r="K712" s="17"/>
      <c r="L712" s="3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6"/>
      <c r="C713" s="17"/>
      <c r="D713" s="17"/>
      <c r="E713" s="17"/>
      <c r="F713" s="17"/>
      <c r="G713" s="17"/>
      <c r="H713" s="17"/>
      <c r="I713" s="17"/>
      <c r="J713" s="17"/>
      <c r="K713" s="17"/>
      <c r="L713" s="3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81">
        <v>31.0</v>
      </c>
      <c r="C714" s="18"/>
      <c r="D714" s="13">
        <v>1.0</v>
      </c>
      <c r="E714" s="40">
        <v>102.0</v>
      </c>
      <c r="F714" s="13" t="s">
        <v>910</v>
      </c>
      <c r="G714" s="13" t="s">
        <v>190</v>
      </c>
      <c r="H714" s="13" t="s">
        <v>47</v>
      </c>
      <c r="I714" s="17"/>
      <c r="J714" s="17"/>
      <c r="K714" s="17"/>
      <c r="L714" s="3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6"/>
      <c r="C715" s="17"/>
      <c r="D715" s="18"/>
      <c r="E715" s="18"/>
      <c r="F715" s="13" t="s">
        <v>911</v>
      </c>
      <c r="G715" s="13" t="s">
        <v>190</v>
      </c>
      <c r="H715" s="17"/>
      <c r="I715" s="17"/>
      <c r="J715" s="17"/>
      <c r="K715" s="17"/>
      <c r="L715" s="3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6"/>
      <c r="C716" s="17"/>
      <c r="D716" s="17"/>
      <c r="E716" s="17"/>
      <c r="F716" s="17"/>
      <c r="G716" s="17"/>
      <c r="H716" s="17"/>
      <c r="I716" s="17"/>
      <c r="J716" s="17"/>
      <c r="K716" s="17"/>
      <c r="L716" s="3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25"/>
      <c r="C717" s="18"/>
      <c r="D717" s="13">
        <v>1.0</v>
      </c>
      <c r="E717" s="13">
        <v>103.0</v>
      </c>
      <c r="F717" s="13" t="s">
        <v>912</v>
      </c>
      <c r="G717" s="13" t="s">
        <v>481</v>
      </c>
      <c r="H717" s="17"/>
      <c r="I717" s="17"/>
      <c r="J717" s="17"/>
      <c r="K717" s="17"/>
      <c r="L717" s="3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6"/>
      <c r="C718" s="17"/>
      <c r="D718" s="18"/>
      <c r="E718" s="18"/>
      <c r="F718" s="13" t="s">
        <v>913</v>
      </c>
      <c r="G718" s="13" t="s">
        <v>914</v>
      </c>
      <c r="H718" s="17"/>
      <c r="I718" s="17"/>
      <c r="J718" s="13">
        <v>139.0</v>
      </c>
      <c r="K718" s="13">
        <v>64734.0</v>
      </c>
      <c r="L718" s="6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6"/>
      <c r="C719" s="17"/>
      <c r="D719" s="18"/>
      <c r="E719" s="18"/>
      <c r="F719" s="13" t="s">
        <v>63</v>
      </c>
      <c r="G719" s="13" t="s">
        <v>914</v>
      </c>
      <c r="H719" s="17"/>
      <c r="I719" s="17"/>
      <c r="J719" s="17"/>
      <c r="K719" s="17"/>
      <c r="L719" s="3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6"/>
      <c r="C720" s="17"/>
      <c r="D720" s="18"/>
      <c r="E720" s="18"/>
      <c r="F720" s="13" t="s">
        <v>128</v>
      </c>
      <c r="G720" s="13" t="s">
        <v>914</v>
      </c>
      <c r="H720" s="13" t="s">
        <v>22</v>
      </c>
      <c r="I720" s="13" t="s">
        <v>915</v>
      </c>
      <c r="J720" s="13">
        <v>109.0</v>
      </c>
      <c r="K720" s="13">
        <v>64734.0</v>
      </c>
      <c r="L720" s="6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6"/>
      <c r="C721" s="17"/>
      <c r="D721" s="18"/>
      <c r="E721" s="18"/>
      <c r="F721" s="13"/>
      <c r="G721" s="13"/>
      <c r="H721" s="13"/>
      <c r="I721" s="13"/>
      <c r="J721" s="13"/>
      <c r="K721" s="13"/>
      <c r="L721" s="6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25"/>
      <c r="C722" s="18"/>
      <c r="D722" s="13">
        <v>1.0</v>
      </c>
      <c r="E722" s="13">
        <v>104.0</v>
      </c>
      <c r="F722" s="13" t="s">
        <v>63</v>
      </c>
      <c r="G722" s="13" t="s">
        <v>680</v>
      </c>
      <c r="H722" s="77" t="s">
        <v>47</v>
      </c>
      <c r="I722" s="13" t="s">
        <v>916</v>
      </c>
      <c r="J722" s="13">
        <v>298.0</v>
      </c>
      <c r="K722" s="26">
        <v>3.0</v>
      </c>
      <c r="L722" s="27"/>
      <c r="M722" s="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6"/>
      <c r="C723" s="17"/>
      <c r="D723" s="17"/>
      <c r="E723" s="17"/>
      <c r="F723" s="13" t="s">
        <v>917</v>
      </c>
      <c r="G723" s="13" t="s">
        <v>918</v>
      </c>
      <c r="H723" s="13" t="s">
        <v>22</v>
      </c>
      <c r="I723" s="13" t="s">
        <v>919</v>
      </c>
      <c r="J723" s="13">
        <v>348.0</v>
      </c>
      <c r="K723" s="13" t="s">
        <v>920</v>
      </c>
      <c r="L723" s="6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6"/>
      <c r="C724" s="17"/>
      <c r="D724" s="17"/>
      <c r="E724" s="17"/>
      <c r="F724" s="13" t="s">
        <v>63</v>
      </c>
      <c r="G724" s="13" t="s">
        <v>680</v>
      </c>
      <c r="H724" s="13" t="s">
        <v>47</v>
      </c>
      <c r="I724" s="13" t="s">
        <v>921</v>
      </c>
      <c r="J724" s="17"/>
      <c r="K724" s="17"/>
      <c r="L724" s="3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6"/>
      <c r="C725" s="17"/>
      <c r="D725" s="18"/>
      <c r="E725" s="18"/>
      <c r="F725" s="13" t="s">
        <v>63</v>
      </c>
      <c r="G725" s="13" t="s">
        <v>680</v>
      </c>
      <c r="H725" s="13" t="s">
        <v>47</v>
      </c>
      <c r="I725" s="13" t="s">
        <v>842</v>
      </c>
      <c r="J725" s="17"/>
      <c r="K725" s="17"/>
      <c r="L725" s="3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6"/>
      <c r="C726" s="17"/>
      <c r="D726" s="17"/>
      <c r="E726" s="17"/>
      <c r="F726" s="13" t="s">
        <v>63</v>
      </c>
      <c r="G726" s="13" t="s">
        <v>680</v>
      </c>
      <c r="H726" s="13" t="s">
        <v>47</v>
      </c>
      <c r="I726" s="13" t="s">
        <v>844</v>
      </c>
      <c r="J726" s="17"/>
      <c r="K726" s="17"/>
      <c r="L726" s="3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6"/>
      <c r="C727" s="17"/>
      <c r="D727" s="17"/>
      <c r="E727" s="17"/>
      <c r="F727" s="13"/>
      <c r="G727" s="13"/>
      <c r="H727" s="17"/>
      <c r="I727" s="17"/>
      <c r="J727" s="17"/>
      <c r="K727" s="17"/>
      <c r="L727" s="3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25"/>
      <c r="C728" s="18"/>
      <c r="D728" s="13">
        <v>1.0</v>
      </c>
      <c r="E728" s="13">
        <v>105.0</v>
      </c>
      <c r="F728" s="13" t="s">
        <v>922</v>
      </c>
      <c r="G728" s="13" t="s">
        <v>923</v>
      </c>
      <c r="H728" s="17"/>
      <c r="I728" s="17"/>
      <c r="J728" s="13">
        <v>171.0</v>
      </c>
      <c r="K728" s="56" t="s">
        <v>924</v>
      </c>
      <c r="L728" s="57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6"/>
      <c r="C729" s="17"/>
      <c r="D729" s="18"/>
      <c r="E729" s="18"/>
      <c r="F729" s="13" t="s">
        <v>925</v>
      </c>
      <c r="G729" s="13" t="s">
        <v>926</v>
      </c>
      <c r="H729" s="13" t="s">
        <v>22</v>
      </c>
      <c r="I729" s="13" t="s">
        <v>927</v>
      </c>
      <c r="J729" s="13" t="s">
        <v>928</v>
      </c>
      <c r="K729" s="19"/>
      <c r="L729" s="57" t="s">
        <v>496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6"/>
      <c r="C730" s="17"/>
      <c r="D730" s="17"/>
      <c r="E730" s="17"/>
      <c r="F730" s="17"/>
      <c r="G730" s="17"/>
      <c r="H730" s="17"/>
      <c r="I730" s="17"/>
      <c r="J730" s="17"/>
      <c r="K730" s="17"/>
      <c r="L730" s="6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81">
        <v>31.0</v>
      </c>
      <c r="C731" s="18"/>
      <c r="D731" s="13">
        <v>2.0</v>
      </c>
      <c r="E731" s="40">
        <v>201.0</v>
      </c>
      <c r="F731" s="13" t="s">
        <v>97</v>
      </c>
      <c r="G731" s="13" t="s">
        <v>929</v>
      </c>
      <c r="H731" s="13" t="s">
        <v>22</v>
      </c>
      <c r="I731" s="13" t="s">
        <v>930</v>
      </c>
      <c r="J731" s="17"/>
      <c r="K731" s="17"/>
      <c r="L731" s="3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6"/>
      <c r="C732" s="17"/>
      <c r="D732" s="18"/>
      <c r="E732" s="18"/>
      <c r="F732" s="13" t="s">
        <v>931</v>
      </c>
      <c r="G732" s="13" t="s">
        <v>932</v>
      </c>
      <c r="H732" s="17"/>
      <c r="I732" s="17"/>
      <c r="J732" s="17"/>
      <c r="K732" s="17"/>
      <c r="L732" s="3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6"/>
      <c r="C733" s="17"/>
      <c r="D733" s="17"/>
      <c r="E733" s="17"/>
      <c r="F733" s="17"/>
      <c r="G733" s="17"/>
      <c r="H733" s="17"/>
      <c r="I733" s="17"/>
      <c r="J733" s="17"/>
      <c r="K733" s="17"/>
      <c r="L733" s="3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25"/>
      <c r="C734" s="18"/>
      <c r="D734" s="13">
        <v>2.0</v>
      </c>
      <c r="E734" s="13">
        <v>202.0</v>
      </c>
      <c r="F734" s="13" t="s">
        <v>933</v>
      </c>
      <c r="G734" s="13" t="s">
        <v>793</v>
      </c>
      <c r="H734" s="13" t="s">
        <v>22</v>
      </c>
      <c r="I734" s="13" t="s">
        <v>934</v>
      </c>
      <c r="J734" s="13">
        <v>72.0</v>
      </c>
      <c r="K734" s="30">
        <v>39115.0</v>
      </c>
      <c r="L734" s="3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3"/>
      <c r="C735" s="16"/>
      <c r="D735" s="18"/>
      <c r="E735" s="18"/>
      <c r="F735" s="13" t="s">
        <v>447</v>
      </c>
      <c r="G735" s="13" t="s">
        <v>793</v>
      </c>
      <c r="H735" s="18"/>
      <c r="I735" s="18"/>
      <c r="J735" s="13">
        <v>71.0</v>
      </c>
      <c r="K735" s="30">
        <v>69070.0</v>
      </c>
      <c r="L735" s="3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69"/>
      <c r="C736" s="17"/>
      <c r="D736" s="17"/>
      <c r="E736" s="17"/>
      <c r="F736" s="17"/>
      <c r="G736" s="17"/>
      <c r="H736" s="17"/>
      <c r="I736" s="17"/>
      <c r="J736" s="17"/>
      <c r="K736" s="17"/>
      <c r="L736" s="3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25"/>
      <c r="C737" s="44"/>
      <c r="D737" s="13">
        <v>2.0</v>
      </c>
      <c r="E737" s="13">
        <v>203.0</v>
      </c>
      <c r="F737" s="13" t="s">
        <v>935</v>
      </c>
      <c r="G737" s="13" t="s">
        <v>936</v>
      </c>
      <c r="H737" s="13" t="s">
        <v>87</v>
      </c>
      <c r="I737" s="13"/>
      <c r="J737" s="17"/>
      <c r="K737" s="17"/>
      <c r="L737" s="3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6"/>
      <c r="C738" s="17"/>
      <c r="D738" s="18"/>
      <c r="E738" s="18"/>
      <c r="F738" s="13" t="s">
        <v>937</v>
      </c>
      <c r="G738" s="13" t="s">
        <v>716</v>
      </c>
      <c r="H738" s="17"/>
      <c r="I738" s="17"/>
      <c r="J738" s="17"/>
      <c r="K738" s="17"/>
      <c r="L738" s="3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6"/>
      <c r="C739" s="17"/>
      <c r="D739" s="17"/>
      <c r="E739" s="17"/>
      <c r="F739" s="13" t="s">
        <v>435</v>
      </c>
      <c r="G739" s="17"/>
      <c r="H739" s="13" t="s">
        <v>22</v>
      </c>
      <c r="I739" s="13" t="s">
        <v>938</v>
      </c>
      <c r="J739" s="17"/>
      <c r="K739" s="17"/>
      <c r="L739" s="3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6"/>
      <c r="C740" s="17"/>
      <c r="D740" s="17"/>
      <c r="E740" s="17"/>
      <c r="F740" s="17"/>
      <c r="G740" s="17"/>
      <c r="H740" s="17"/>
      <c r="I740" s="17"/>
      <c r="J740" s="17"/>
      <c r="K740" s="17"/>
      <c r="L740" s="3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6"/>
      <c r="C741" s="17"/>
      <c r="D741" s="17"/>
      <c r="E741" s="17"/>
      <c r="F741" s="17"/>
      <c r="G741" s="17"/>
      <c r="H741" s="17"/>
      <c r="I741" s="17"/>
      <c r="J741" s="17"/>
      <c r="K741" s="17"/>
      <c r="L741" s="3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25"/>
      <c r="C742" s="44"/>
      <c r="D742" s="13">
        <v>2.0</v>
      </c>
      <c r="E742" s="13">
        <v>204.0</v>
      </c>
      <c r="F742" s="13" t="s">
        <v>305</v>
      </c>
      <c r="G742" s="13" t="s">
        <v>939</v>
      </c>
      <c r="H742" s="17"/>
      <c r="I742" s="17"/>
      <c r="J742" s="17"/>
      <c r="K742" s="17"/>
      <c r="L742" s="3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6"/>
      <c r="C743" s="17"/>
      <c r="D743" s="18"/>
      <c r="E743" s="18"/>
      <c r="F743" s="13" t="s">
        <v>940</v>
      </c>
      <c r="G743" s="13" t="s">
        <v>941</v>
      </c>
      <c r="H743" s="13" t="s">
        <v>47</v>
      </c>
      <c r="I743" s="13" t="s">
        <v>942</v>
      </c>
      <c r="J743" s="17"/>
      <c r="K743" s="17"/>
      <c r="L743" s="3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6"/>
      <c r="C744" s="17"/>
      <c r="D744" s="18"/>
      <c r="E744" s="18"/>
      <c r="F744" s="13"/>
      <c r="G744" s="13"/>
      <c r="H744" s="17"/>
      <c r="I744" s="17"/>
      <c r="J744" s="17"/>
      <c r="K744" s="17"/>
      <c r="L744" s="3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6"/>
      <c r="C745" s="17"/>
      <c r="D745" s="18"/>
      <c r="E745" s="18"/>
      <c r="F745" s="13"/>
      <c r="G745" s="13"/>
      <c r="H745" s="17"/>
      <c r="I745" s="17"/>
      <c r="J745" s="17"/>
      <c r="K745" s="17"/>
      <c r="L745" s="3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6"/>
      <c r="C746" s="17"/>
      <c r="D746" s="18"/>
      <c r="E746" s="18"/>
      <c r="F746" s="13"/>
      <c r="G746" s="13"/>
      <c r="H746" s="17"/>
      <c r="I746" s="17"/>
      <c r="J746" s="17"/>
      <c r="K746" s="17"/>
      <c r="L746" s="3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6"/>
      <c r="C747" s="17"/>
      <c r="D747" s="17"/>
      <c r="E747" s="17"/>
      <c r="F747" s="17"/>
      <c r="G747" s="17"/>
      <c r="H747" s="17"/>
      <c r="I747" s="17"/>
      <c r="J747" s="17"/>
      <c r="K747" s="17"/>
      <c r="L747" s="3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25"/>
      <c r="C748" s="18"/>
      <c r="D748" s="13">
        <v>2.0</v>
      </c>
      <c r="E748" s="13">
        <v>205.0</v>
      </c>
      <c r="F748" s="13" t="s">
        <v>676</v>
      </c>
      <c r="G748" s="13" t="s">
        <v>943</v>
      </c>
      <c r="H748" s="13" t="s">
        <v>22</v>
      </c>
      <c r="I748" s="13" t="s">
        <v>944</v>
      </c>
      <c r="J748" s="17"/>
      <c r="K748" s="17"/>
      <c r="L748" s="3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25"/>
      <c r="C749" s="18"/>
      <c r="D749" s="13"/>
      <c r="E749" s="13"/>
      <c r="F749" s="13" t="s">
        <v>676</v>
      </c>
      <c r="G749" s="13" t="s">
        <v>943</v>
      </c>
      <c r="H749" s="13" t="s">
        <v>87</v>
      </c>
      <c r="I749" s="13" t="s">
        <v>945</v>
      </c>
      <c r="J749" s="17"/>
      <c r="K749" s="17"/>
      <c r="L749" s="3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6"/>
      <c r="C750" s="17"/>
      <c r="D750" s="18"/>
      <c r="E750" s="18"/>
      <c r="F750" s="13" t="s">
        <v>676</v>
      </c>
      <c r="G750" s="13" t="s">
        <v>943</v>
      </c>
      <c r="H750" s="13" t="s">
        <v>87</v>
      </c>
      <c r="I750" s="13" t="s">
        <v>946</v>
      </c>
      <c r="J750" s="17"/>
      <c r="K750" s="17"/>
      <c r="L750" s="3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6"/>
      <c r="C751" s="17"/>
      <c r="D751" s="18"/>
      <c r="E751" s="18"/>
      <c r="F751" s="13" t="s">
        <v>947</v>
      </c>
      <c r="G751" s="13" t="s">
        <v>932</v>
      </c>
      <c r="H751" s="13" t="s">
        <v>22</v>
      </c>
      <c r="I751" s="13" t="s">
        <v>948</v>
      </c>
      <c r="J751" s="17"/>
      <c r="K751" s="17"/>
      <c r="L751" s="3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6"/>
      <c r="C752" s="17"/>
      <c r="D752" s="17"/>
      <c r="E752" s="17"/>
      <c r="F752" s="17"/>
      <c r="G752" s="17"/>
      <c r="H752" s="17"/>
      <c r="I752" s="13"/>
      <c r="J752" s="17"/>
      <c r="K752" s="17"/>
      <c r="L752" s="3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81">
        <v>31.0</v>
      </c>
      <c r="C753" s="18"/>
      <c r="D753" s="13">
        <v>3.0</v>
      </c>
      <c r="E753" s="40">
        <v>301.0</v>
      </c>
      <c r="F753" s="13" t="s">
        <v>949</v>
      </c>
      <c r="G753" s="13" t="s">
        <v>950</v>
      </c>
      <c r="H753" s="17"/>
      <c r="I753" s="17"/>
      <c r="J753" s="17"/>
      <c r="K753" s="17"/>
      <c r="L753" s="3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6"/>
      <c r="C754" s="17"/>
      <c r="D754" s="17"/>
      <c r="E754" s="17"/>
      <c r="F754" s="17"/>
      <c r="G754" s="17"/>
      <c r="H754" s="17"/>
      <c r="I754" s="17"/>
      <c r="J754" s="17"/>
      <c r="K754" s="17"/>
      <c r="L754" s="3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6"/>
      <c r="C755" s="18"/>
      <c r="D755" s="18"/>
      <c r="E755" s="13">
        <v>302.0</v>
      </c>
      <c r="F755" s="13" t="s">
        <v>951</v>
      </c>
      <c r="G755" s="13" t="s">
        <v>581</v>
      </c>
      <c r="H755" s="13" t="s">
        <v>22</v>
      </c>
      <c r="I755" s="26" t="s">
        <v>952</v>
      </c>
      <c r="J755" s="13">
        <v>6.0</v>
      </c>
      <c r="K755" s="153">
        <v>3.0</v>
      </c>
      <c r="L755" s="146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6"/>
      <c r="C756" s="17"/>
      <c r="D756" s="18"/>
      <c r="E756" s="17"/>
      <c r="F756" s="13" t="s">
        <v>951</v>
      </c>
      <c r="G756" s="13" t="s">
        <v>581</v>
      </c>
      <c r="H756" s="13" t="s">
        <v>260</v>
      </c>
      <c r="I756" s="26" t="s">
        <v>953</v>
      </c>
      <c r="J756" s="13"/>
      <c r="K756" s="154"/>
      <c r="L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6"/>
      <c r="C757" s="17"/>
      <c r="D757" s="18"/>
      <c r="E757" s="17"/>
      <c r="F757" s="13" t="s">
        <v>951</v>
      </c>
      <c r="G757" s="13" t="s">
        <v>581</v>
      </c>
      <c r="H757" s="13" t="s">
        <v>22</v>
      </c>
      <c r="I757" s="26" t="s">
        <v>954</v>
      </c>
      <c r="J757" s="13"/>
      <c r="K757" s="154"/>
      <c r="L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6"/>
      <c r="C758" s="17"/>
      <c r="D758" s="18"/>
      <c r="E758" s="17"/>
      <c r="F758" s="13" t="s">
        <v>951</v>
      </c>
      <c r="G758" s="13" t="s">
        <v>581</v>
      </c>
      <c r="H758" s="13" t="s">
        <v>22</v>
      </c>
      <c r="I758" s="26" t="s">
        <v>955</v>
      </c>
      <c r="J758" s="13"/>
      <c r="K758" s="154"/>
      <c r="L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6"/>
      <c r="C759" s="17"/>
      <c r="D759" s="18"/>
      <c r="E759" s="17"/>
      <c r="F759" s="13" t="s">
        <v>812</v>
      </c>
      <c r="G759" s="17"/>
      <c r="H759" s="18"/>
      <c r="I759" s="26"/>
      <c r="J759" s="13">
        <v>7.0</v>
      </c>
      <c r="K759" s="155" t="s">
        <v>495</v>
      </c>
      <c r="L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3"/>
      <c r="C760" s="16"/>
      <c r="D760" s="18"/>
      <c r="E760" s="17"/>
      <c r="F760" s="13" t="s">
        <v>635</v>
      </c>
      <c r="G760" s="17"/>
      <c r="H760" s="18"/>
      <c r="I760" s="74"/>
      <c r="J760" s="13">
        <v>8.0</v>
      </c>
      <c r="K760" s="155" t="s">
        <v>495</v>
      </c>
      <c r="L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3"/>
      <c r="C761" s="18"/>
      <c r="D761" s="18"/>
      <c r="E761" s="13"/>
      <c r="F761" s="13"/>
      <c r="G761" s="13"/>
      <c r="H761" s="17"/>
      <c r="I761" s="17"/>
      <c r="J761" s="13"/>
      <c r="K761" s="17"/>
      <c r="L761" s="3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69"/>
      <c r="C762" s="18"/>
      <c r="D762" s="18"/>
      <c r="E762" s="13">
        <v>303.0</v>
      </c>
      <c r="F762" s="13" t="s">
        <v>287</v>
      </c>
      <c r="G762" s="13" t="s">
        <v>956</v>
      </c>
      <c r="H762" s="13" t="s">
        <v>87</v>
      </c>
      <c r="I762" s="13" t="s">
        <v>957</v>
      </c>
      <c r="J762" s="13">
        <v>158.0</v>
      </c>
      <c r="K762" s="56">
        <v>16061.0</v>
      </c>
      <c r="L762" s="57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6"/>
      <c r="C763" s="17"/>
      <c r="D763" s="18"/>
      <c r="E763" s="18"/>
      <c r="F763" s="13" t="s">
        <v>958</v>
      </c>
      <c r="G763" s="13" t="s">
        <v>956</v>
      </c>
      <c r="H763" s="13" t="s">
        <v>87</v>
      </c>
      <c r="I763" s="13" t="s">
        <v>959</v>
      </c>
      <c r="J763" s="13">
        <v>159.0</v>
      </c>
      <c r="K763" s="67"/>
      <c r="L763" s="57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6"/>
      <c r="C764" s="17"/>
      <c r="D764" s="17"/>
      <c r="E764" s="18"/>
      <c r="F764" s="17"/>
      <c r="G764" s="13" t="s">
        <v>960</v>
      </c>
      <c r="H764" s="17"/>
      <c r="I764" s="17"/>
      <c r="J764" s="13">
        <v>162.0</v>
      </c>
      <c r="K764" s="19"/>
      <c r="L764" s="57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6"/>
      <c r="C765" s="17"/>
      <c r="D765" s="17"/>
      <c r="E765" s="17"/>
      <c r="F765" s="17"/>
      <c r="G765" s="17"/>
      <c r="H765" s="17"/>
      <c r="I765" s="17"/>
      <c r="J765" s="17"/>
      <c r="K765" s="17"/>
      <c r="L765" s="3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6"/>
      <c r="C766" s="18"/>
      <c r="D766" s="18"/>
      <c r="E766" s="40">
        <v>304.0</v>
      </c>
      <c r="F766" s="13" t="s">
        <v>857</v>
      </c>
      <c r="G766" s="13" t="s">
        <v>961</v>
      </c>
      <c r="H766" s="13" t="s">
        <v>47</v>
      </c>
      <c r="I766" s="13" t="s">
        <v>962</v>
      </c>
      <c r="J766" s="17"/>
      <c r="K766" s="17"/>
      <c r="L766" s="3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6"/>
      <c r="C767" s="17"/>
      <c r="D767" s="18"/>
      <c r="E767" s="18"/>
      <c r="F767" s="13" t="s">
        <v>963</v>
      </c>
      <c r="G767" s="13"/>
      <c r="H767" s="17"/>
      <c r="I767" s="17"/>
      <c r="J767" s="13">
        <v>336.0</v>
      </c>
      <c r="K767" s="13" t="s">
        <v>257</v>
      </c>
      <c r="L767" s="6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6"/>
      <c r="C768" s="17"/>
      <c r="D768" s="18"/>
      <c r="E768" s="18"/>
      <c r="F768" s="13"/>
      <c r="G768" s="13"/>
      <c r="H768" s="17"/>
      <c r="I768" s="17"/>
      <c r="J768" s="17"/>
      <c r="K768" s="17"/>
      <c r="L768" s="3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6"/>
      <c r="C769" s="17"/>
      <c r="D769" s="17"/>
      <c r="E769" s="17"/>
      <c r="F769" s="17"/>
      <c r="G769" s="17"/>
      <c r="H769" s="17"/>
      <c r="I769" s="17"/>
      <c r="J769" s="17"/>
      <c r="K769" s="17"/>
      <c r="L769" s="3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6"/>
      <c r="C770" s="18"/>
      <c r="D770" s="18"/>
      <c r="E770" s="13">
        <v>305.0</v>
      </c>
      <c r="F770" s="13" t="s">
        <v>752</v>
      </c>
      <c r="G770" s="13" t="s">
        <v>964</v>
      </c>
      <c r="H770" s="13" t="s">
        <v>22</v>
      </c>
      <c r="I770" s="13" t="s">
        <v>965</v>
      </c>
      <c r="J770" s="17"/>
      <c r="K770" s="17"/>
      <c r="L770" s="3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6"/>
      <c r="C771" s="17"/>
      <c r="D771" s="18"/>
      <c r="E771" s="18"/>
      <c r="F771" s="13" t="s">
        <v>272</v>
      </c>
      <c r="G771" s="13" t="s">
        <v>966</v>
      </c>
      <c r="H771" s="13" t="s">
        <v>22</v>
      </c>
      <c r="I771" s="13" t="s">
        <v>967</v>
      </c>
      <c r="J771" s="17"/>
      <c r="K771" s="17"/>
      <c r="L771" s="3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6"/>
      <c r="C772" s="17"/>
      <c r="D772" s="18"/>
      <c r="E772" s="18"/>
      <c r="F772" s="13" t="s">
        <v>968</v>
      </c>
      <c r="G772" s="13" t="s">
        <v>966</v>
      </c>
      <c r="H772" s="13" t="s">
        <v>22</v>
      </c>
      <c r="I772" s="13" t="s">
        <v>969</v>
      </c>
      <c r="J772" s="17"/>
      <c r="K772" s="17"/>
      <c r="L772" s="3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6"/>
      <c r="C773" s="17"/>
      <c r="D773" s="18"/>
      <c r="E773" s="18"/>
      <c r="F773" s="13" t="s">
        <v>970</v>
      </c>
      <c r="G773" s="13" t="s">
        <v>738</v>
      </c>
      <c r="H773" s="13" t="s">
        <v>22</v>
      </c>
      <c r="I773" s="13" t="s">
        <v>971</v>
      </c>
      <c r="J773" s="17"/>
      <c r="K773" s="17"/>
      <c r="L773" s="3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6"/>
      <c r="C774" s="17"/>
      <c r="D774" s="18"/>
      <c r="E774" s="18"/>
      <c r="F774" s="13" t="s">
        <v>972</v>
      </c>
      <c r="G774" s="13" t="s">
        <v>966</v>
      </c>
      <c r="H774" s="17"/>
      <c r="I774" s="17"/>
      <c r="J774" s="13">
        <v>231.0</v>
      </c>
      <c r="K774" s="13">
        <v>1952.0</v>
      </c>
      <c r="L774" s="6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6"/>
      <c r="C775" s="17"/>
      <c r="D775" s="17"/>
      <c r="E775" s="17"/>
      <c r="F775" s="17"/>
      <c r="G775" s="17"/>
      <c r="H775" s="17"/>
      <c r="I775" s="17"/>
      <c r="J775" s="17"/>
      <c r="K775" s="17"/>
      <c r="L775" s="3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25"/>
      <c r="C776" s="18"/>
      <c r="D776" s="13">
        <v>4.0</v>
      </c>
      <c r="E776" s="13">
        <v>401.0</v>
      </c>
      <c r="F776" s="13" t="s">
        <v>973</v>
      </c>
      <c r="G776" s="13" t="s">
        <v>974</v>
      </c>
      <c r="H776" s="17"/>
      <c r="I776" s="17"/>
      <c r="J776" s="13">
        <v>160.0</v>
      </c>
      <c r="K776" s="56">
        <v>16061.0</v>
      </c>
      <c r="L776" s="57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6"/>
      <c r="C777" s="17"/>
      <c r="D777" s="18"/>
      <c r="E777" s="18"/>
      <c r="F777" s="13" t="s">
        <v>63</v>
      </c>
      <c r="G777" s="13" t="s">
        <v>203</v>
      </c>
      <c r="H777" s="17"/>
      <c r="I777" s="17"/>
      <c r="J777" s="13">
        <v>161.0</v>
      </c>
      <c r="K777" s="19"/>
      <c r="L777" s="57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6"/>
      <c r="C778" s="17"/>
      <c r="D778" s="17"/>
      <c r="E778" s="17"/>
      <c r="F778" s="17"/>
      <c r="G778" s="17"/>
      <c r="H778" s="17"/>
      <c r="I778" s="17"/>
      <c r="J778" s="17"/>
      <c r="K778" s="17"/>
      <c r="L778" s="3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81">
        <v>31.0</v>
      </c>
      <c r="C779" s="18"/>
      <c r="D779" s="18"/>
      <c r="E779" s="13">
        <v>402.0</v>
      </c>
      <c r="F779" s="13" t="s">
        <v>287</v>
      </c>
      <c r="G779" s="13" t="s">
        <v>975</v>
      </c>
      <c r="H779" s="13" t="s">
        <v>22</v>
      </c>
      <c r="I779" s="13" t="s">
        <v>976</v>
      </c>
      <c r="J779" s="13">
        <v>68.0</v>
      </c>
      <c r="K779" s="30" t="s">
        <v>977</v>
      </c>
      <c r="L779" s="3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3"/>
      <c r="C780" s="16"/>
      <c r="D780" s="18"/>
      <c r="E780" s="18"/>
      <c r="F780" s="13" t="s">
        <v>978</v>
      </c>
      <c r="G780" s="13" t="s">
        <v>975</v>
      </c>
      <c r="H780" s="17"/>
      <c r="I780" s="17"/>
      <c r="J780" s="17"/>
      <c r="K780" s="17"/>
      <c r="L780" s="3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69"/>
      <c r="C781" s="17"/>
      <c r="D781" s="18"/>
      <c r="E781" s="18"/>
      <c r="F781" s="13" t="s">
        <v>601</v>
      </c>
      <c r="G781" s="13" t="s">
        <v>975</v>
      </c>
      <c r="H781" s="13" t="s">
        <v>22</v>
      </c>
      <c r="I781" s="13" t="s">
        <v>979</v>
      </c>
      <c r="J781" s="17"/>
      <c r="K781" s="17"/>
      <c r="L781" s="3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6"/>
      <c r="C782" s="17"/>
      <c r="D782" s="17"/>
      <c r="E782" s="18"/>
      <c r="F782" s="17"/>
      <c r="G782" s="13" t="s">
        <v>980</v>
      </c>
      <c r="H782" s="17"/>
      <c r="I782" s="17"/>
      <c r="J782" s="17"/>
      <c r="K782" s="17"/>
      <c r="L782" s="3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6"/>
      <c r="C783" s="17"/>
      <c r="D783" s="17"/>
      <c r="E783" s="17"/>
      <c r="F783" s="17"/>
      <c r="G783" s="17"/>
      <c r="H783" s="17"/>
      <c r="I783" s="17"/>
      <c r="J783" s="17"/>
      <c r="K783" s="17"/>
      <c r="L783" s="3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6"/>
      <c r="C784" s="44"/>
      <c r="D784" s="18"/>
      <c r="E784" s="40">
        <v>403.0</v>
      </c>
      <c r="F784" s="13" t="s">
        <v>617</v>
      </c>
      <c r="G784" s="13" t="s">
        <v>981</v>
      </c>
      <c r="H784" s="13"/>
      <c r="I784" s="13"/>
      <c r="J784" s="17"/>
      <c r="K784" s="17"/>
      <c r="L784" s="3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6"/>
      <c r="C785" s="17"/>
      <c r="D785" s="17"/>
      <c r="E785" s="17"/>
      <c r="F785" s="17"/>
      <c r="G785" s="17"/>
      <c r="H785" s="17"/>
      <c r="I785" s="17"/>
      <c r="J785" s="17"/>
      <c r="K785" s="17"/>
      <c r="L785" s="3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6"/>
      <c r="C786" s="18"/>
      <c r="D786" s="18"/>
      <c r="E786" s="13">
        <v>404.0</v>
      </c>
      <c r="F786" s="13" t="s">
        <v>468</v>
      </c>
      <c r="G786" s="13" t="s">
        <v>906</v>
      </c>
      <c r="H786" s="13" t="s">
        <v>22</v>
      </c>
      <c r="I786" s="13" t="s">
        <v>982</v>
      </c>
      <c r="J786" s="13">
        <v>325.0</v>
      </c>
      <c r="K786" s="26">
        <v>3.0</v>
      </c>
      <c r="L786" s="27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6"/>
      <c r="C787" s="18"/>
      <c r="D787" s="18"/>
      <c r="E787" s="13"/>
      <c r="F787" s="13" t="s">
        <v>468</v>
      </c>
      <c r="G787" s="13" t="s">
        <v>906</v>
      </c>
      <c r="H787" s="13" t="s">
        <v>22</v>
      </c>
      <c r="I787" s="13" t="s">
        <v>983</v>
      </c>
      <c r="J787" s="17"/>
      <c r="K787" s="17"/>
      <c r="L787" s="3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6"/>
      <c r="C788" s="17"/>
      <c r="D788" s="18"/>
      <c r="E788" s="18"/>
      <c r="F788" s="13" t="s">
        <v>366</v>
      </c>
      <c r="G788" s="13" t="s">
        <v>906</v>
      </c>
      <c r="H788" s="13" t="s">
        <v>22</v>
      </c>
      <c r="I788" s="13" t="s">
        <v>984</v>
      </c>
      <c r="J788" s="13">
        <v>350.0</v>
      </c>
      <c r="K788" s="13" t="s">
        <v>121</v>
      </c>
      <c r="L788" s="6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6"/>
      <c r="C789" s="17"/>
      <c r="D789" s="18"/>
      <c r="E789" s="18"/>
      <c r="F789" s="13" t="s">
        <v>985</v>
      </c>
      <c r="G789" s="13" t="s">
        <v>906</v>
      </c>
      <c r="H789" s="13" t="s">
        <v>22</v>
      </c>
      <c r="I789" s="13" t="s">
        <v>986</v>
      </c>
      <c r="J789" s="17"/>
      <c r="K789" s="17"/>
      <c r="L789" s="3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6"/>
      <c r="C790" s="17"/>
      <c r="D790" s="17"/>
      <c r="E790" s="17"/>
      <c r="F790" s="13" t="s">
        <v>987</v>
      </c>
      <c r="G790" s="13" t="s">
        <v>988</v>
      </c>
      <c r="H790" s="13" t="s">
        <v>22</v>
      </c>
      <c r="I790" s="13" t="s">
        <v>989</v>
      </c>
      <c r="J790" s="17"/>
      <c r="K790" s="17"/>
      <c r="L790" s="3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6"/>
      <c r="C791" s="17"/>
      <c r="D791" s="17"/>
      <c r="E791" s="17"/>
      <c r="F791" s="17"/>
      <c r="G791" s="17"/>
      <c r="H791" s="17"/>
      <c r="I791" s="17"/>
      <c r="J791" s="17"/>
      <c r="K791" s="17"/>
      <c r="L791" s="3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6"/>
      <c r="C792" s="18"/>
      <c r="D792" s="18"/>
      <c r="E792" s="13">
        <v>405.0</v>
      </c>
      <c r="F792" s="13" t="s">
        <v>105</v>
      </c>
      <c r="G792" s="13" t="s">
        <v>990</v>
      </c>
      <c r="H792" s="13" t="s">
        <v>22</v>
      </c>
      <c r="I792" s="13" t="s">
        <v>991</v>
      </c>
      <c r="J792" s="13">
        <v>165.0</v>
      </c>
      <c r="K792" s="26">
        <v>3.0</v>
      </c>
      <c r="L792" s="27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6"/>
      <c r="C793" s="18"/>
      <c r="D793" s="18"/>
      <c r="E793" s="13"/>
      <c r="F793" s="13" t="s">
        <v>105</v>
      </c>
      <c r="G793" s="13" t="s">
        <v>990</v>
      </c>
      <c r="H793" s="13" t="s">
        <v>22</v>
      </c>
      <c r="I793" s="13" t="s">
        <v>992</v>
      </c>
      <c r="J793" s="13"/>
      <c r="K793" s="26"/>
      <c r="L793" s="27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6"/>
      <c r="C794" s="17"/>
      <c r="D794" s="18"/>
      <c r="E794" s="18"/>
      <c r="F794" s="13" t="s">
        <v>993</v>
      </c>
      <c r="G794" s="13" t="s">
        <v>990</v>
      </c>
      <c r="H794" s="17"/>
      <c r="I794" s="17"/>
      <c r="J794" s="17"/>
      <c r="K794" s="17"/>
      <c r="L794" s="3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6"/>
      <c r="C795" s="17"/>
      <c r="D795" s="17"/>
      <c r="E795" s="17"/>
      <c r="F795" s="17"/>
      <c r="G795" s="17"/>
      <c r="H795" s="17"/>
      <c r="I795" s="17"/>
      <c r="J795" s="17"/>
      <c r="K795" s="17"/>
      <c r="L795" s="3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38">
        <v>32.0</v>
      </c>
      <c r="C796" s="39">
        <v>1.0</v>
      </c>
      <c r="D796" s="13" t="s">
        <v>19</v>
      </c>
      <c r="E796" s="13">
        <v>1.0</v>
      </c>
      <c r="F796" s="13" t="s">
        <v>994</v>
      </c>
      <c r="G796" s="13" t="s">
        <v>995</v>
      </c>
      <c r="H796" s="17"/>
      <c r="I796" s="17"/>
      <c r="J796" s="17"/>
      <c r="K796" s="17"/>
      <c r="L796" s="3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6"/>
      <c r="C797" s="17"/>
      <c r="D797" s="18"/>
      <c r="E797" s="18"/>
      <c r="F797" s="13" t="s">
        <v>996</v>
      </c>
      <c r="G797" s="13" t="s">
        <v>93</v>
      </c>
      <c r="H797" s="13" t="s">
        <v>87</v>
      </c>
      <c r="I797" s="13" t="s">
        <v>997</v>
      </c>
      <c r="J797" s="17"/>
      <c r="K797" s="17"/>
      <c r="L797" s="3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6"/>
      <c r="C798" s="17"/>
      <c r="D798" s="17"/>
      <c r="E798" s="17"/>
      <c r="F798" s="17"/>
      <c r="G798" s="17"/>
      <c r="H798" s="17"/>
      <c r="I798" s="17"/>
      <c r="J798" s="17"/>
      <c r="K798" s="17"/>
      <c r="L798" s="3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25"/>
      <c r="C799" s="18"/>
      <c r="D799" s="13" t="s">
        <v>19</v>
      </c>
      <c r="E799" s="13">
        <v>2.0</v>
      </c>
      <c r="F799" s="13" t="s">
        <v>884</v>
      </c>
      <c r="G799" s="13" t="s">
        <v>998</v>
      </c>
      <c r="H799" s="13" t="s">
        <v>22</v>
      </c>
      <c r="I799" s="13" t="s">
        <v>999</v>
      </c>
      <c r="J799" s="17"/>
      <c r="K799" s="17"/>
      <c r="L799" s="3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3"/>
      <c r="C800" s="16"/>
      <c r="D800" s="18"/>
      <c r="E800" s="18"/>
      <c r="F800" s="13" t="s">
        <v>63</v>
      </c>
      <c r="G800" s="13" t="s">
        <v>998</v>
      </c>
      <c r="H800" s="17"/>
      <c r="I800" s="17"/>
      <c r="J800" s="17"/>
      <c r="K800" s="17"/>
      <c r="L800" s="3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69"/>
      <c r="C801" s="17"/>
      <c r="D801" s="18"/>
      <c r="E801" s="18"/>
      <c r="F801" s="13" t="s">
        <v>1000</v>
      </c>
      <c r="G801" s="13" t="s">
        <v>998</v>
      </c>
      <c r="H801" s="17"/>
      <c r="I801" s="17"/>
      <c r="J801" s="17"/>
      <c r="K801" s="17"/>
      <c r="L801" s="3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6"/>
      <c r="C802" s="17"/>
      <c r="D802" s="18"/>
      <c r="E802" s="18"/>
      <c r="F802" s="13" t="s">
        <v>468</v>
      </c>
      <c r="G802" s="13" t="s">
        <v>998</v>
      </c>
      <c r="H802" s="13" t="s">
        <v>22</v>
      </c>
      <c r="I802" s="13" t="s">
        <v>1001</v>
      </c>
      <c r="J802" s="17"/>
      <c r="K802" s="17"/>
      <c r="L802" s="3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6"/>
      <c r="C803" s="17"/>
      <c r="D803" s="17"/>
      <c r="E803" s="17"/>
      <c r="F803" s="17"/>
      <c r="G803" s="17"/>
      <c r="H803" s="17"/>
      <c r="I803" s="17"/>
      <c r="J803" s="17"/>
      <c r="K803" s="17"/>
      <c r="L803" s="3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25"/>
      <c r="C804" s="18"/>
      <c r="D804" s="13" t="s">
        <v>19</v>
      </c>
      <c r="E804" s="40">
        <v>3.0</v>
      </c>
      <c r="F804" s="13" t="s">
        <v>1002</v>
      </c>
      <c r="G804" s="13" t="s">
        <v>1003</v>
      </c>
      <c r="H804" s="17"/>
      <c r="I804" s="17"/>
      <c r="J804" s="17"/>
      <c r="K804" s="17"/>
      <c r="L804" s="3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6"/>
      <c r="C805" s="17"/>
      <c r="D805" s="18"/>
      <c r="E805" s="18"/>
      <c r="F805" s="13" t="s">
        <v>1004</v>
      </c>
      <c r="G805" s="13" t="s">
        <v>1003</v>
      </c>
      <c r="H805" s="17"/>
      <c r="I805" s="17"/>
      <c r="J805" s="17"/>
      <c r="K805" s="17"/>
      <c r="L805" s="3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6"/>
      <c r="C806" s="17"/>
      <c r="D806" s="17"/>
      <c r="E806" s="18"/>
      <c r="F806" s="13" t="s">
        <v>1005</v>
      </c>
      <c r="G806" s="13" t="s">
        <v>1006</v>
      </c>
      <c r="H806" s="13" t="s">
        <v>1007</v>
      </c>
      <c r="I806" s="13" t="s">
        <v>1008</v>
      </c>
      <c r="J806" s="17"/>
      <c r="K806" s="17"/>
      <c r="L806" s="3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6"/>
      <c r="C807" s="17"/>
      <c r="D807" s="17"/>
      <c r="E807" s="17"/>
      <c r="F807" s="13" t="s">
        <v>1005</v>
      </c>
      <c r="G807" s="13" t="s">
        <v>1006</v>
      </c>
      <c r="H807" s="17"/>
      <c r="I807" s="13" t="s">
        <v>1009</v>
      </c>
      <c r="J807" s="17"/>
      <c r="K807" s="17"/>
      <c r="L807" s="3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25"/>
      <c r="C808" s="18"/>
      <c r="D808" s="13" t="s">
        <v>19</v>
      </c>
      <c r="E808" s="13">
        <v>4.0</v>
      </c>
      <c r="F808" s="13" t="s">
        <v>1010</v>
      </c>
      <c r="G808" s="13" t="s">
        <v>1011</v>
      </c>
      <c r="H808" s="18"/>
      <c r="I808" s="18"/>
      <c r="J808" s="13">
        <v>14.0</v>
      </c>
      <c r="K808" s="34">
        <v>40619.0</v>
      </c>
      <c r="L808" s="3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6"/>
      <c r="C809" s="17"/>
      <c r="D809" s="18"/>
      <c r="E809" s="18"/>
      <c r="F809" s="14" t="s">
        <v>1012</v>
      </c>
      <c r="G809" s="14" t="s">
        <v>551</v>
      </c>
      <c r="H809" s="6" t="s">
        <v>22</v>
      </c>
      <c r="I809" s="35" t="s">
        <v>1013</v>
      </c>
      <c r="J809" s="13">
        <v>15.0</v>
      </c>
      <c r="K809" s="36"/>
      <c r="L809" s="3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6"/>
      <c r="C810" s="17"/>
      <c r="D810" s="18"/>
      <c r="E810" s="18"/>
      <c r="F810" s="29" t="s">
        <v>1000</v>
      </c>
      <c r="G810" s="29" t="s">
        <v>551</v>
      </c>
      <c r="H810" s="29" t="s">
        <v>1014</v>
      </c>
      <c r="I810" s="13" t="s">
        <v>1015</v>
      </c>
      <c r="J810" s="17"/>
      <c r="K810" s="17"/>
      <c r="L810" s="3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6"/>
      <c r="C811" s="17"/>
      <c r="D811" s="18"/>
      <c r="E811" s="18"/>
      <c r="F811" s="29" t="s">
        <v>1000</v>
      </c>
      <c r="G811" s="29" t="s">
        <v>551</v>
      </c>
      <c r="H811" s="13" t="s">
        <v>330</v>
      </c>
      <c r="I811" s="13" t="s">
        <v>1016</v>
      </c>
      <c r="J811" s="17"/>
      <c r="K811" s="17"/>
      <c r="L811" s="3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6"/>
      <c r="C812" s="17"/>
      <c r="D812" s="18"/>
      <c r="E812" s="18"/>
      <c r="F812" s="13" t="s">
        <v>1017</v>
      </c>
      <c r="G812" s="13" t="s">
        <v>551</v>
      </c>
      <c r="H812" s="13" t="s">
        <v>260</v>
      </c>
      <c r="I812" s="13" t="s">
        <v>1018</v>
      </c>
      <c r="J812" s="17"/>
      <c r="K812" s="17"/>
      <c r="L812" s="3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6"/>
      <c r="C813" s="17"/>
      <c r="D813" s="17"/>
      <c r="E813" s="17"/>
      <c r="F813" s="13" t="s">
        <v>1017</v>
      </c>
      <c r="G813" s="13" t="s">
        <v>551</v>
      </c>
      <c r="H813" s="13" t="s">
        <v>260</v>
      </c>
      <c r="I813" s="13" t="s">
        <v>1019</v>
      </c>
      <c r="J813" s="17"/>
      <c r="K813" s="17"/>
      <c r="L813" s="3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6"/>
      <c r="C814" s="17"/>
      <c r="D814" s="17"/>
      <c r="E814" s="17"/>
      <c r="F814" s="13" t="s">
        <v>1020</v>
      </c>
      <c r="G814" s="13" t="s">
        <v>1021</v>
      </c>
      <c r="H814" s="13" t="s">
        <v>22</v>
      </c>
      <c r="I814" s="13" t="s">
        <v>1022</v>
      </c>
      <c r="J814" s="13"/>
      <c r="K814" s="13"/>
      <c r="L814" s="6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6"/>
      <c r="C815" s="17"/>
      <c r="D815" s="17"/>
      <c r="E815" s="17"/>
      <c r="F815" s="13" t="s">
        <v>1023</v>
      </c>
      <c r="G815" s="13"/>
      <c r="H815" s="13"/>
      <c r="I815" s="17"/>
      <c r="J815" s="13">
        <v>355.0</v>
      </c>
      <c r="K815" s="13" t="s">
        <v>1024</v>
      </c>
      <c r="L815" s="6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6"/>
      <c r="C816" s="17"/>
      <c r="D816" s="17"/>
      <c r="E816" s="17"/>
      <c r="F816" s="13"/>
      <c r="G816" s="13"/>
      <c r="H816" s="13"/>
      <c r="I816" s="17"/>
      <c r="J816" s="17"/>
      <c r="K816" s="17"/>
      <c r="L816" s="3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38">
        <v>32.0</v>
      </c>
      <c r="C817" s="39">
        <v>1.0</v>
      </c>
      <c r="D817" s="13">
        <v>1.0</v>
      </c>
      <c r="E817" s="13">
        <v>101.0</v>
      </c>
      <c r="F817" s="13" t="s">
        <v>1025</v>
      </c>
      <c r="G817" s="13" t="s">
        <v>1026</v>
      </c>
      <c r="H817" s="13"/>
      <c r="I817" s="13" t="s">
        <v>1027</v>
      </c>
      <c r="J817" s="13">
        <v>174.0</v>
      </c>
      <c r="K817" s="26"/>
      <c r="L817" s="27"/>
      <c r="M817" s="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6"/>
      <c r="C818" s="17"/>
      <c r="D818" s="17"/>
      <c r="E818" s="17"/>
      <c r="F818" s="108"/>
      <c r="G818" s="17"/>
      <c r="H818" s="17"/>
      <c r="I818" s="17"/>
      <c r="J818" s="17"/>
      <c r="K818" s="17"/>
      <c r="L818" s="3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6"/>
      <c r="C819" s="17"/>
      <c r="D819" s="17"/>
      <c r="E819" s="17"/>
      <c r="F819" s="17"/>
      <c r="G819" s="17"/>
      <c r="H819" s="17"/>
      <c r="I819" s="17"/>
      <c r="J819" s="17"/>
      <c r="K819" s="17"/>
      <c r="L819" s="3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25"/>
      <c r="C820" s="44"/>
      <c r="D820" s="13">
        <v>1.0</v>
      </c>
      <c r="E820" s="13">
        <v>102.0</v>
      </c>
      <c r="F820" s="13" t="s">
        <v>1028</v>
      </c>
      <c r="G820" s="13" t="s">
        <v>1029</v>
      </c>
      <c r="H820" s="13" t="s">
        <v>22</v>
      </c>
      <c r="I820" s="13" t="s">
        <v>927</v>
      </c>
      <c r="J820" s="17"/>
      <c r="K820" s="17"/>
      <c r="L820" s="3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6"/>
      <c r="C821" s="17"/>
      <c r="D821" s="17"/>
      <c r="E821" s="17"/>
      <c r="F821" s="13" t="s">
        <v>1030</v>
      </c>
      <c r="G821" s="13" t="s">
        <v>1031</v>
      </c>
      <c r="H821" s="13" t="s">
        <v>22</v>
      </c>
      <c r="I821" s="13" t="s">
        <v>1032</v>
      </c>
      <c r="J821" s="13">
        <v>138.0</v>
      </c>
      <c r="K821" s="56">
        <v>15996.0</v>
      </c>
      <c r="L821" s="57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6"/>
      <c r="C822" s="17"/>
      <c r="D822" s="17"/>
      <c r="E822" s="17"/>
      <c r="F822" s="13" t="s">
        <v>1030</v>
      </c>
      <c r="G822" s="13" t="s">
        <v>1031</v>
      </c>
      <c r="H822" s="13" t="s">
        <v>47</v>
      </c>
      <c r="I822" s="13" t="s">
        <v>1033</v>
      </c>
      <c r="J822" s="13"/>
      <c r="K822" s="67"/>
      <c r="L822" s="57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98"/>
      <c r="C823" s="17"/>
      <c r="D823" s="17"/>
      <c r="E823" s="17"/>
      <c r="F823" s="13" t="s">
        <v>74</v>
      </c>
      <c r="G823" s="13" t="s">
        <v>1034</v>
      </c>
      <c r="H823" s="17"/>
      <c r="I823" s="17"/>
      <c r="J823" s="13">
        <v>137.0</v>
      </c>
      <c r="K823" s="19"/>
      <c r="L823" s="57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98"/>
      <c r="C824" s="17"/>
      <c r="D824" s="17"/>
      <c r="E824" s="17"/>
      <c r="F824" s="13"/>
      <c r="G824" s="13"/>
      <c r="H824" s="17"/>
      <c r="I824" s="17"/>
      <c r="J824" s="17"/>
      <c r="K824" s="17"/>
      <c r="L824" s="3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98"/>
      <c r="C825" s="17"/>
      <c r="D825" s="17"/>
      <c r="E825" s="17"/>
      <c r="F825" s="13"/>
      <c r="G825" s="13"/>
      <c r="H825" s="17"/>
      <c r="I825" s="17"/>
      <c r="J825" s="17"/>
      <c r="K825" s="17"/>
      <c r="L825" s="3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25"/>
      <c r="C826" s="18"/>
      <c r="D826" s="13">
        <v>1.0</v>
      </c>
      <c r="E826" s="13">
        <v>103.0</v>
      </c>
      <c r="F826" s="13" t="s">
        <v>554</v>
      </c>
      <c r="G826" s="13" t="s">
        <v>481</v>
      </c>
      <c r="H826" s="17"/>
      <c r="I826" s="17"/>
      <c r="J826" s="13">
        <v>194.0</v>
      </c>
      <c r="K826" s="13">
        <v>41206.0</v>
      </c>
      <c r="L826" s="6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6"/>
      <c r="C827" s="17"/>
      <c r="D827" s="18"/>
      <c r="E827" s="18"/>
      <c r="F827" s="41"/>
      <c r="G827" s="41"/>
      <c r="H827" s="17"/>
      <c r="I827" s="17"/>
      <c r="J827" s="17"/>
      <c r="K827" s="17"/>
      <c r="L827" s="3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6"/>
      <c r="C828" s="17"/>
      <c r="D828" s="17"/>
      <c r="E828" s="17"/>
      <c r="F828" s="17"/>
      <c r="G828" s="17"/>
      <c r="H828" s="17"/>
      <c r="I828" s="17"/>
      <c r="J828" s="17"/>
      <c r="K828" s="17"/>
      <c r="L828" s="3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25"/>
      <c r="C829" s="44"/>
      <c r="D829" s="13">
        <v>1.0</v>
      </c>
      <c r="E829" s="40">
        <v>104.0</v>
      </c>
      <c r="F829" s="13" t="s">
        <v>1035</v>
      </c>
      <c r="G829" s="13" t="s">
        <v>1036</v>
      </c>
      <c r="H829" s="13" t="s">
        <v>47</v>
      </c>
      <c r="I829" s="13" t="s">
        <v>1037</v>
      </c>
      <c r="J829" s="13">
        <v>296.0</v>
      </c>
      <c r="K829" s="17"/>
      <c r="L829" s="3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25"/>
      <c r="C830" s="44"/>
      <c r="D830" s="13"/>
      <c r="E830" s="13"/>
      <c r="F830" s="13" t="s">
        <v>1035</v>
      </c>
      <c r="G830" s="13" t="s">
        <v>1036</v>
      </c>
      <c r="H830" s="13" t="s">
        <v>47</v>
      </c>
      <c r="I830" s="13" t="s">
        <v>1038</v>
      </c>
      <c r="J830" s="17"/>
      <c r="K830" s="17"/>
      <c r="L830" s="3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6"/>
      <c r="C831" s="17"/>
      <c r="D831" s="18"/>
      <c r="E831" s="18"/>
      <c r="F831" s="13" t="s">
        <v>1039</v>
      </c>
      <c r="G831" s="13" t="s">
        <v>1036</v>
      </c>
      <c r="H831" s="17"/>
      <c r="I831" s="17"/>
      <c r="J831" s="17"/>
      <c r="K831" s="17"/>
      <c r="L831" s="3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6"/>
      <c r="C832" s="17"/>
      <c r="D832" s="18"/>
      <c r="E832" s="18"/>
      <c r="F832" s="13" t="s">
        <v>413</v>
      </c>
      <c r="G832" s="13" t="s">
        <v>1036</v>
      </c>
      <c r="H832" s="17"/>
      <c r="I832" s="17"/>
      <c r="J832" s="17"/>
      <c r="K832" s="17"/>
      <c r="L832" s="3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6"/>
      <c r="C833" s="17"/>
      <c r="D833" s="17"/>
      <c r="E833" s="17"/>
      <c r="F833" s="17"/>
      <c r="G833" s="17"/>
      <c r="H833" s="17"/>
      <c r="I833" s="17"/>
      <c r="J833" s="17"/>
      <c r="K833" s="17"/>
      <c r="L833" s="3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38">
        <v>32.0</v>
      </c>
      <c r="C834" s="39">
        <v>1.0</v>
      </c>
      <c r="D834" s="13">
        <v>2.0</v>
      </c>
      <c r="E834" s="40">
        <v>201.0</v>
      </c>
      <c r="F834" s="13" t="s">
        <v>1040</v>
      </c>
      <c r="G834" s="13" t="s">
        <v>1041</v>
      </c>
      <c r="H834" s="17"/>
      <c r="I834" s="13" t="s">
        <v>1042</v>
      </c>
      <c r="J834" s="13" t="s">
        <v>1043</v>
      </c>
      <c r="K834" s="13" t="s">
        <v>56</v>
      </c>
      <c r="L834" s="3"/>
      <c r="M834" s="2" t="s">
        <v>1044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6"/>
      <c r="C835" s="17"/>
      <c r="D835" s="18"/>
      <c r="E835" s="18"/>
      <c r="F835" s="13"/>
      <c r="G835" s="13"/>
      <c r="H835" s="13" t="s">
        <v>87</v>
      </c>
      <c r="I835" s="13"/>
      <c r="J835" s="17"/>
      <c r="K835" s="17"/>
      <c r="L835" s="3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6"/>
      <c r="C836" s="17"/>
      <c r="D836" s="18"/>
      <c r="E836" s="18"/>
      <c r="F836" s="13"/>
      <c r="G836" s="13"/>
      <c r="H836" s="17"/>
      <c r="I836" s="17"/>
      <c r="J836" s="17"/>
      <c r="K836" s="17"/>
      <c r="L836" s="3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6"/>
      <c r="C837" s="17"/>
      <c r="D837" s="17"/>
      <c r="E837" s="17"/>
      <c r="F837" s="17"/>
      <c r="G837" s="17"/>
      <c r="H837" s="17"/>
      <c r="I837" s="17"/>
      <c r="J837" s="17"/>
      <c r="K837" s="17"/>
      <c r="L837" s="3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7"/>
      <c r="C838" s="25"/>
      <c r="D838" s="13">
        <v>2.0</v>
      </c>
      <c r="E838" s="13">
        <v>202.0</v>
      </c>
      <c r="F838" s="13" t="s">
        <v>352</v>
      </c>
      <c r="G838" s="13" t="s">
        <v>1045</v>
      </c>
      <c r="H838" s="13" t="s">
        <v>22</v>
      </c>
      <c r="I838" s="13" t="s">
        <v>1046</v>
      </c>
      <c r="J838" s="13">
        <v>83.0</v>
      </c>
      <c r="K838" s="34">
        <v>87230.0</v>
      </c>
      <c r="L838" s="3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69"/>
      <c r="C839" s="17"/>
      <c r="D839" s="18"/>
      <c r="E839" s="18"/>
      <c r="F839" s="13" t="s">
        <v>425</v>
      </c>
      <c r="G839" s="13" t="s">
        <v>696</v>
      </c>
      <c r="H839" s="18"/>
      <c r="I839" s="18"/>
      <c r="J839" s="13">
        <v>82.0</v>
      </c>
      <c r="K839" s="36"/>
      <c r="L839" s="3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6"/>
      <c r="C840" s="17"/>
      <c r="D840" s="18"/>
      <c r="E840" s="18"/>
      <c r="F840" s="13"/>
      <c r="G840" s="13"/>
      <c r="H840" s="18"/>
      <c r="I840" s="18"/>
      <c r="J840" s="13"/>
      <c r="K840" s="156"/>
      <c r="L840" s="3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25"/>
      <c r="C841" s="18"/>
      <c r="D841" s="13">
        <v>2.0</v>
      </c>
      <c r="E841" s="13">
        <v>203.0</v>
      </c>
      <c r="F841" s="13" t="s">
        <v>1047</v>
      </c>
      <c r="G841" s="13" t="s">
        <v>1048</v>
      </c>
      <c r="H841" s="13" t="s">
        <v>22</v>
      </c>
      <c r="I841" s="26" t="s">
        <v>1049</v>
      </c>
      <c r="J841" s="13">
        <v>12.0</v>
      </c>
      <c r="K841" s="91">
        <v>3.0</v>
      </c>
      <c r="L841" s="73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6"/>
      <c r="C842" s="17"/>
      <c r="D842" s="18"/>
      <c r="E842" s="18"/>
      <c r="F842" s="13" t="s">
        <v>1050</v>
      </c>
      <c r="G842" s="13" t="s">
        <v>1048</v>
      </c>
      <c r="H842" s="17"/>
      <c r="I842" s="17"/>
      <c r="J842" s="17"/>
      <c r="K842" s="17"/>
      <c r="L842" s="3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6"/>
      <c r="C843" s="17"/>
      <c r="D843" s="18"/>
      <c r="E843" s="18"/>
      <c r="F843" s="13" t="s">
        <v>1051</v>
      </c>
      <c r="G843" s="13" t="s">
        <v>1048</v>
      </c>
      <c r="H843" s="13" t="s">
        <v>22</v>
      </c>
      <c r="I843" s="74"/>
      <c r="J843" s="13">
        <v>13.0</v>
      </c>
      <c r="K843" s="91">
        <v>3.0</v>
      </c>
      <c r="L843" s="73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6"/>
      <c r="C844" s="17"/>
      <c r="D844" s="17"/>
      <c r="E844" s="17"/>
      <c r="F844" s="17"/>
      <c r="G844" s="17"/>
      <c r="H844" s="17"/>
      <c r="I844" s="17"/>
      <c r="J844" s="17"/>
      <c r="K844" s="17"/>
      <c r="L844" s="3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25"/>
      <c r="C845" s="18"/>
      <c r="D845" s="13">
        <v>2.0</v>
      </c>
      <c r="E845" s="13">
        <v>204.0</v>
      </c>
      <c r="F845" s="13" t="s">
        <v>1052</v>
      </c>
      <c r="G845" s="13" t="s">
        <v>1053</v>
      </c>
      <c r="H845" s="13" t="s">
        <v>22</v>
      </c>
      <c r="I845" s="13" t="s">
        <v>1054</v>
      </c>
      <c r="J845" s="17"/>
      <c r="K845" s="17"/>
      <c r="L845" s="3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6"/>
      <c r="C846" s="17"/>
      <c r="D846" s="18"/>
      <c r="E846" s="18"/>
      <c r="F846" s="13" t="s">
        <v>347</v>
      </c>
      <c r="G846" s="13" t="s">
        <v>1053</v>
      </c>
      <c r="H846" s="17"/>
      <c r="I846" s="17"/>
      <c r="J846" s="13">
        <v>186.0</v>
      </c>
      <c r="K846" s="13">
        <v>36841.0</v>
      </c>
      <c r="L846" s="6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6"/>
      <c r="C847" s="17"/>
      <c r="D847" s="18"/>
      <c r="E847" s="18"/>
      <c r="F847" s="13" t="s">
        <v>392</v>
      </c>
      <c r="G847" s="13" t="s">
        <v>1053</v>
      </c>
      <c r="H847" s="18"/>
      <c r="I847" s="18"/>
      <c r="J847" s="13">
        <v>51.0</v>
      </c>
      <c r="K847" s="34">
        <v>33106.0</v>
      </c>
      <c r="L847" s="3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6"/>
      <c r="C848" s="17"/>
      <c r="D848" s="18"/>
      <c r="E848" s="18"/>
      <c r="F848" s="13" t="s">
        <v>374</v>
      </c>
      <c r="G848" s="13" t="s">
        <v>1055</v>
      </c>
      <c r="H848" s="18"/>
      <c r="I848" s="18"/>
      <c r="J848" s="13">
        <v>50.0</v>
      </c>
      <c r="K848" s="36"/>
      <c r="L848" s="3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6"/>
      <c r="C849" s="17"/>
      <c r="D849" s="17"/>
      <c r="E849" s="17"/>
      <c r="F849" s="17"/>
      <c r="G849" s="17"/>
      <c r="H849" s="17"/>
      <c r="I849" s="17"/>
      <c r="J849" s="17"/>
      <c r="K849" s="17"/>
      <c r="L849" s="3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38">
        <v>32.0</v>
      </c>
      <c r="C850" s="39">
        <v>1.0</v>
      </c>
      <c r="D850" s="13">
        <v>3.0</v>
      </c>
      <c r="E850" s="13">
        <v>301.0</v>
      </c>
      <c r="F850" s="13" t="s">
        <v>1056</v>
      </c>
      <c r="G850" s="13" t="s">
        <v>1057</v>
      </c>
      <c r="H850" s="18"/>
      <c r="I850" s="18"/>
      <c r="J850" s="13">
        <v>27.0</v>
      </c>
      <c r="K850" s="30">
        <v>36831.0</v>
      </c>
      <c r="L850" s="3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6"/>
      <c r="C851" s="17"/>
      <c r="D851" s="18"/>
      <c r="E851" s="18"/>
      <c r="F851" s="13" t="s">
        <v>1058</v>
      </c>
      <c r="G851" s="13" t="s">
        <v>1059</v>
      </c>
      <c r="H851" s="18"/>
      <c r="I851" s="18"/>
      <c r="J851" s="13">
        <v>30.0</v>
      </c>
      <c r="K851" s="30">
        <v>19656.0</v>
      </c>
      <c r="L851" s="31"/>
      <c r="M851" s="2" t="s">
        <v>1060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6"/>
      <c r="C852" s="17"/>
      <c r="D852" s="18"/>
      <c r="E852" s="18"/>
      <c r="F852" s="13" t="s">
        <v>1058</v>
      </c>
      <c r="G852" s="13" t="s">
        <v>1059</v>
      </c>
      <c r="H852" s="18"/>
      <c r="I852" s="18"/>
      <c r="J852" s="13">
        <v>335.0</v>
      </c>
      <c r="K852" s="30">
        <v>2186.0</v>
      </c>
      <c r="L852" s="31"/>
      <c r="M852" s="2" t="s">
        <v>257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6"/>
      <c r="C853" s="17"/>
      <c r="D853" s="17"/>
      <c r="E853" s="17"/>
      <c r="F853" s="17"/>
      <c r="G853" s="17"/>
      <c r="H853" s="17"/>
      <c r="I853" s="17"/>
      <c r="J853" s="17"/>
      <c r="K853" s="17"/>
      <c r="L853" s="3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25"/>
      <c r="C854" s="18"/>
      <c r="D854" s="13">
        <v>3.0</v>
      </c>
      <c r="E854" s="13">
        <v>302.0</v>
      </c>
      <c r="F854" s="13" t="s">
        <v>63</v>
      </c>
      <c r="G854" s="13" t="s">
        <v>861</v>
      </c>
      <c r="H854" s="18"/>
      <c r="I854" s="18"/>
      <c r="J854" s="13">
        <v>132.0</v>
      </c>
      <c r="K854" s="157">
        <v>11065.0</v>
      </c>
      <c r="L854" s="158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3"/>
      <c r="C855" s="16"/>
      <c r="D855" s="18"/>
      <c r="E855" s="18"/>
      <c r="F855" s="13" t="s">
        <v>205</v>
      </c>
      <c r="G855" s="13" t="s">
        <v>861</v>
      </c>
      <c r="H855" s="13" t="s">
        <v>47</v>
      </c>
      <c r="I855" s="13" t="s">
        <v>1061</v>
      </c>
      <c r="J855" s="13">
        <v>131.0</v>
      </c>
      <c r="K855" s="36"/>
      <c r="L855" s="158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69"/>
      <c r="C856" s="17"/>
      <c r="D856" s="18"/>
      <c r="E856" s="18"/>
      <c r="F856" s="13" t="s">
        <v>238</v>
      </c>
      <c r="G856" s="13" t="s">
        <v>1062</v>
      </c>
      <c r="H856" s="17"/>
      <c r="I856" s="17"/>
      <c r="J856" s="17"/>
      <c r="K856" s="17"/>
      <c r="L856" s="3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6"/>
      <c r="C857" s="17"/>
      <c r="D857" s="18"/>
      <c r="E857" s="18"/>
      <c r="F857" s="13" t="s">
        <v>447</v>
      </c>
      <c r="G857" s="13" t="s">
        <v>1062</v>
      </c>
      <c r="H857" s="17"/>
      <c r="I857" s="17"/>
      <c r="J857" s="17"/>
      <c r="K857" s="17"/>
      <c r="L857" s="3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6"/>
      <c r="C858" s="17"/>
      <c r="D858" s="18"/>
      <c r="E858" s="18"/>
      <c r="F858" s="13" t="s">
        <v>1063</v>
      </c>
      <c r="G858" s="13" t="s">
        <v>861</v>
      </c>
      <c r="H858" s="17"/>
      <c r="I858" s="17"/>
      <c r="J858" s="17"/>
      <c r="K858" s="17"/>
      <c r="L858" s="3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25"/>
      <c r="C859" s="18"/>
      <c r="D859" s="13"/>
      <c r="E859" s="13"/>
      <c r="F859" s="13"/>
      <c r="G859" s="13"/>
      <c r="H859" s="17"/>
      <c r="I859" s="17"/>
      <c r="J859" s="17"/>
      <c r="K859" s="17"/>
      <c r="L859" s="3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25"/>
      <c r="C860" s="18"/>
      <c r="D860" s="13">
        <v>3.0</v>
      </c>
      <c r="E860" s="40">
        <v>303.0</v>
      </c>
      <c r="F860" s="13" t="s">
        <v>1064</v>
      </c>
      <c r="G860" s="13" t="s">
        <v>1065</v>
      </c>
      <c r="H860" s="17"/>
      <c r="I860" s="17"/>
      <c r="J860" s="17"/>
      <c r="K860" s="17"/>
      <c r="L860" s="3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6"/>
      <c r="C861" s="17"/>
      <c r="D861" s="18"/>
      <c r="E861" s="17"/>
      <c r="F861" s="13" t="s">
        <v>968</v>
      </c>
      <c r="G861" s="17"/>
      <c r="H861" s="17"/>
      <c r="I861" s="17"/>
      <c r="J861" s="17"/>
      <c r="K861" s="17"/>
      <c r="L861" s="3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6"/>
      <c r="C862" s="17"/>
      <c r="D862" s="18"/>
      <c r="E862" s="17"/>
      <c r="F862" s="13" t="s">
        <v>435</v>
      </c>
      <c r="G862" s="17"/>
      <c r="H862" s="17"/>
      <c r="I862" s="17"/>
      <c r="J862" s="17"/>
      <c r="K862" s="17"/>
      <c r="L862" s="3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6"/>
      <c r="C863" s="17"/>
      <c r="D863" s="17"/>
      <c r="E863" s="17"/>
      <c r="F863" s="17"/>
      <c r="G863" s="17"/>
      <c r="H863" s="17"/>
      <c r="I863" s="17"/>
      <c r="J863" s="17"/>
      <c r="K863" s="17"/>
      <c r="L863" s="3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25"/>
      <c r="C864" s="18"/>
      <c r="D864" s="13">
        <v>3.0</v>
      </c>
      <c r="E864" s="13">
        <v>304.0</v>
      </c>
      <c r="F864" s="13" t="s">
        <v>1066</v>
      </c>
      <c r="G864" s="13" t="s">
        <v>400</v>
      </c>
      <c r="H864" s="18"/>
      <c r="I864" s="74"/>
      <c r="J864" s="13">
        <v>17.0</v>
      </c>
      <c r="K864" s="72">
        <v>9.0</v>
      </c>
      <c r="L864" s="73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6"/>
      <c r="C865" s="17"/>
      <c r="D865" s="18"/>
      <c r="E865" s="18"/>
      <c r="F865" s="13" t="s">
        <v>169</v>
      </c>
      <c r="G865" s="13" t="s">
        <v>1067</v>
      </c>
      <c r="H865" s="13" t="s">
        <v>22</v>
      </c>
      <c r="I865" s="26" t="s">
        <v>1068</v>
      </c>
      <c r="J865" s="13">
        <v>9.0</v>
      </c>
      <c r="K865" s="75"/>
      <c r="L865" s="73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6"/>
      <c r="C866" s="17"/>
      <c r="D866" s="18"/>
      <c r="E866" s="18"/>
      <c r="F866" s="13" t="s">
        <v>169</v>
      </c>
      <c r="G866" s="13" t="s">
        <v>1067</v>
      </c>
      <c r="H866" s="13" t="s">
        <v>22</v>
      </c>
      <c r="I866" s="26" t="s">
        <v>1069</v>
      </c>
      <c r="J866" s="13"/>
      <c r="K866" s="75"/>
      <c r="L866" s="73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6"/>
      <c r="C867" s="17"/>
      <c r="D867" s="18"/>
      <c r="E867" s="18"/>
      <c r="F867" s="13" t="s">
        <v>1070</v>
      </c>
      <c r="G867" s="13" t="s">
        <v>1067</v>
      </c>
      <c r="H867" s="18"/>
      <c r="I867" s="74"/>
      <c r="J867" s="13">
        <v>16.0</v>
      </c>
      <c r="K867" s="75"/>
      <c r="L867" s="73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38"/>
      <c r="C868" s="39"/>
      <c r="D868" s="13"/>
      <c r="E868" s="13"/>
      <c r="F868" s="13" t="s">
        <v>1070</v>
      </c>
      <c r="G868" s="13" t="s">
        <v>1067</v>
      </c>
      <c r="H868" s="18"/>
      <c r="I868" s="18"/>
      <c r="J868" s="13">
        <v>140.0</v>
      </c>
      <c r="K868" s="159">
        <v>3.0</v>
      </c>
      <c r="L868" s="146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38"/>
      <c r="C869" s="39"/>
      <c r="D869" s="13"/>
      <c r="E869" s="13"/>
      <c r="F869" s="13"/>
      <c r="G869" s="13"/>
      <c r="H869" s="18"/>
      <c r="I869" s="18"/>
      <c r="J869" s="13"/>
      <c r="K869" s="160"/>
      <c r="L869" s="3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38">
        <v>32.0</v>
      </c>
      <c r="C870" s="39">
        <v>1.0</v>
      </c>
      <c r="D870" s="13">
        <v>4.0</v>
      </c>
      <c r="E870" s="13">
        <v>401.0</v>
      </c>
      <c r="F870" s="13" t="s">
        <v>1071</v>
      </c>
      <c r="G870" s="13" t="s">
        <v>1072</v>
      </c>
      <c r="H870" s="13" t="s">
        <v>22</v>
      </c>
      <c r="I870" s="13" t="s">
        <v>1073</v>
      </c>
      <c r="J870" s="13" t="s">
        <v>1074</v>
      </c>
      <c r="K870" s="160">
        <v>81545.0</v>
      </c>
      <c r="L870" s="3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6"/>
      <c r="C871" s="17"/>
      <c r="D871" s="18"/>
      <c r="E871" s="18"/>
      <c r="F871" s="13" t="s">
        <v>1071</v>
      </c>
      <c r="G871" s="13" t="s">
        <v>1072</v>
      </c>
      <c r="H871" s="18"/>
      <c r="I871" s="18"/>
      <c r="J871" s="13">
        <v>59.0</v>
      </c>
      <c r="K871" s="30">
        <v>87127.0</v>
      </c>
      <c r="L871" s="3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6"/>
      <c r="C872" s="17"/>
      <c r="D872" s="18"/>
      <c r="E872" s="18"/>
      <c r="F872" s="13"/>
      <c r="G872" s="13"/>
      <c r="H872" s="18"/>
      <c r="I872" s="18"/>
      <c r="J872" s="13"/>
      <c r="K872" s="160"/>
      <c r="L872" s="3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25"/>
      <c r="C873" s="18"/>
      <c r="D873" s="13">
        <v>4.0</v>
      </c>
      <c r="E873" s="13">
        <v>402.0</v>
      </c>
      <c r="F873" s="13" t="s">
        <v>794</v>
      </c>
      <c r="G873" s="13" t="s">
        <v>1075</v>
      </c>
      <c r="H873" s="18"/>
      <c r="I873" s="74"/>
      <c r="J873" s="13">
        <v>24.0</v>
      </c>
      <c r="K873" s="72">
        <v>9.0</v>
      </c>
      <c r="L873" s="73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6"/>
      <c r="C874" s="17"/>
      <c r="D874" s="18"/>
      <c r="E874" s="18"/>
      <c r="F874" s="13" t="s">
        <v>1040</v>
      </c>
      <c r="G874" s="13" t="s">
        <v>1076</v>
      </c>
      <c r="H874" s="18"/>
      <c r="I874" s="74"/>
      <c r="J874" s="13">
        <v>26.0</v>
      </c>
      <c r="K874" s="75"/>
      <c r="L874" s="73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79"/>
      <c r="C875" s="52"/>
      <c r="D875" s="18"/>
      <c r="E875" s="18"/>
      <c r="F875" s="13" t="s">
        <v>1077</v>
      </c>
      <c r="G875" s="13" t="s">
        <v>1078</v>
      </c>
      <c r="H875" s="18"/>
      <c r="I875" s="74"/>
      <c r="J875" s="13">
        <v>25.0</v>
      </c>
      <c r="K875" s="75"/>
      <c r="L875" s="73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50"/>
      <c r="C876" s="50"/>
      <c r="D876" s="18"/>
      <c r="E876" s="18"/>
      <c r="F876" s="13"/>
      <c r="G876" s="13"/>
      <c r="H876" s="18"/>
      <c r="I876" s="74"/>
      <c r="J876" s="13"/>
      <c r="K876" s="161"/>
      <c r="L876" s="73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62"/>
      <c r="C877" s="162"/>
      <c r="D877" s="13">
        <v>4.0</v>
      </c>
      <c r="E877" s="40">
        <v>403.0</v>
      </c>
      <c r="F877" s="13" t="s">
        <v>105</v>
      </c>
      <c r="G877" s="13" t="s">
        <v>1079</v>
      </c>
      <c r="H877" s="13"/>
      <c r="I877" s="13"/>
      <c r="J877" s="17"/>
      <c r="K877" s="17"/>
      <c r="L877" s="3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6"/>
      <c r="C878" s="17"/>
      <c r="D878" s="18"/>
      <c r="E878" s="18"/>
      <c r="F878" s="13" t="s">
        <v>214</v>
      </c>
      <c r="G878" s="13" t="s">
        <v>1080</v>
      </c>
      <c r="H878" s="13"/>
      <c r="I878" s="13"/>
      <c r="J878" s="17"/>
      <c r="K878" s="17"/>
      <c r="L878" s="3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6"/>
      <c r="C879" s="17"/>
      <c r="D879" s="18"/>
      <c r="E879" s="18"/>
      <c r="F879" s="13" t="s">
        <v>1081</v>
      </c>
      <c r="G879" s="13" t="s">
        <v>1079</v>
      </c>
      <c r="H879" s="17"/>
      <c r="I879" s="17"/>
      <c r="J879" s="17"/>
      <c r="K879" s="17"/>
      <c r="L879" s="3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6"/>
      <c r="C880" s="17"/>
      <c r="D880" s="18"/>
      <c r="E880" s="18"/>
      <c r="F880" s="13" t="s">
        <v>1082</v>
      </c>
      <c r="G880" s="13" t="s">
        <v>1080</v>
      </c>
      <c r="H880" s="17"/>
      <c r="I880" s="17"/>
      <c r="J880" s="17"/>
      <c r="K880" s="17"/>
      <c r="L880" s="3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6"/>
      <c r="C881" s="17"/>
      <c r="D881" s="18"/>
      <c r="E881" s="18"/>
      <c r="F881" s="13" t="s">
        <v>1083</v>
      </c>
      <c r="G881" s="13" t="s">
        <v>1080</v>
      </c>
      <c r="H881" s="17"/>
      <c r="I881" s="17"/>
      <c r="J881" s="17"/>
      <c r="K881" s="17"/>
      <c r="L881" s="3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6"/>
      <c r="C882" s="17"/>
      <c r="D882" s="17"/>
      <c r="E882" s="17"/>
      <c r="F882" s="17"/>
      <c r="G882" s="17"/>
      <c r="H882" s="17"/>
      <c r="I882" s="17"/>
      <c r="J882" s="17"/>
      <c r="K882" s="17"/>
      <c r="L882" s="3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25"/>
      <c r="C883" s="18"/>
      <c r="D883" s="13">
        <v>4.0</v>
      </c>
      <c r="E883" s="13">
        <v>404.0</v>
      </c>
      <c r="F883" s="13" t="s">
        <v>1084</v>
      </c>
      <c r="G883" s="13" t="s">
        <v>1085</v>
      </c>
      <c r="H883" s="13" t="s">
        <v>22</v>
      </c>
      <c r="I883" s="13" t="s">
        <v>1086</v>
      </c>
      <c r="J883" s="13" t="s">
        <v>1087</v>
      </c>
      <c r="K883" s="13">
        <v>1270.0</v>
      </c>
      <c r="L883" s="6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6"/>
      <c r="C884" s="17"/>
      <c r="D884" s="18"/>
      <c r="E884" s="17"/>
      <c r="F884" s="13" t="s">
        <v>287</v>
      </c>
      <c r="G884" s="13" t="s">
        <v>578</v>
      </c>
      <c r="H884" s="13" t="s">
        <v>22</v>
      </c>
      <c r="I884" s="13" t="s">
        <v>1088</v>
      </c>
      <c r="J884" s="13" t="s">
        <v>1089</v>
      </c>
      <c r="K884" s="30" t="s">
        <v>1090</v>
      </c>
      <c r="L884" s="3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6"/>
      <c r="C885" s="17"/>
      <c r="D885" s="17"/>
      <c r="E885" s="17"/>
      <c r="F885" s="17"/>
      <c r="G885" s="17"/>
      <c r="H885" s="17"/>
      <c r="I885" s="17"/>
      <c r="J885" s="17"/>
      <c r="K885" s="17"/>
      <c r="L885" s="3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81">
        <v>32.0</v>
      </c>
      <c r="C886" s="82">
        <v>2.0</v>
      </c>
      <c r="D886" s="13" t="s">
        <v>19</v>
      </c>
      <c r="E886" s="13">
        <v>1.0</v>
      </c>
      <c r="F886" s="13" t="s">
        <v>1091</v>
      </c>
      <c r="G886" s="13" t="s">
        <v>1092</v>
      </c>
      <c r="H886" s="13"/>
      <c r="I886" s="13"/>
      <c r="J886" s="13">
        <v>84.0</v>
      </c>
      <c r="K886" s="34">
        <v>78047.0</v>
      </c>
      <c r="L886" s="3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6"/>
      <c r="C887" s="17"/>
      <c r="D887" s="18"/>
      <c r="E887" s="17"/>
      <c r="F887" s="13" t="s">
        <v>435</v>
      </c>
      <c r="G887" s="17"/>
      <c r="H887" s="18"/>
      <c r="I887" s="18"/>
      <c r="J887" s="13">
        <v>85.0</v>
      </c>
      <c r="K887" s="36"/>
      <c r="L887" s="3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6"/>
      <c r="C888" s="17"/>
      <c r="D888" s="18"/>
      <c r="E888" s="17"/>
      <c r="F888" s="13" t="s">
        <v>1093</v>
      </c>
      <c r="G888" s="13" t="s">
        <v>1094</v>
      </c>
      <c r="H888" s="13" t="s">
        <v>22</v>
      </c>
      <c r="I888" s="13" t="s">
        <v>1095</v>
      </c>
      <c r="J888" s="13">
        <v>195.0</v>
      </c>
      <c r="K888" s="13">
        <v>51557.0</v>
      </c>
      <c r="L888" s="6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6"/>
      <c r="C889" s="17"/>
      <c r="D889" s="18"/>
      <c r="E889" s="17"/>
      <c r="F889" s="13" t="s">
        <v>1093</v>
      </c>
      <c r="G889" s="13" t="s">
        <v>1094</v>
      </c>
      <c r="H889" s="13" t="s">
        <v>87</v>
      </c>
      <c r="I889" s="13" t="s">
        <v>1096</v>
      </c>
      <c r="J889" s="13"/>
      <c r="K889" s="13"/>
      <c r="L889" s="6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6"/>
      <c r="C890" s="17"/>
      <c r="D890" s="18"/>
      <c r="E890" s="17"/>
      <c r="F890" s="13"/>
      <c r="G890" s="13"/>
      <c r="H890" s="13"/>
      <c r="I890" s="13"/>
      <c r="J890" s="13"/>
      <c r="K890" s="13"/>
      <c r="L890" s="6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25"/>
      <c r="C891" s="44"/>
      <c r="D891" s="13" t="s">
        <v>19</v>
      </c>
      <c r="E891" s="13">
        <v>2.0</v>
      </c>
      <c r="F891" s="13" t="s">
        <v>413</v>
      </c>
      <c r="G891" s="13" t="s">
        <v>37</v>
      </c>
      <c r="H891" s="13" t="s">
        <v>87</v>
      </c>
      <c r="I891" s="13" t="s">
        <v>1097</v>
      </c>
      <c r="J891" s="13">
        <v>70.0</v>
      </c>
      <c r="K891" s="30" t="s">
        <v>1098</v>
      </c>
      <c r="L891" s="3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6"/>
      <c r="C892" s="33"/>
      <c r="D892" s="17"/>
      <c r="E892" s="17"/>
      <c r="F892" s="13" t="s">
        <v>413</v>
      </c>
      <c r="G892" s="13" t="s">
        <v>37</v>
      </c>
      <c r="H892" s="13" t="s">
        <v>87</v>
      </c>
      <c r="I892" s="13" t="s">
        <v>1099</v>
      </c>
      <c r="J892" s="17"/>
      <c r="K892" s="17"/>
      <c r="L892" s="3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6"/>
      <c r="C893" s="17"/>
      <c r="D893" s="17"/>
      <c r="E893" s="17"/>
      <c r="F893" s="13" t="s">
        <v>413</v>
      </c>
      <c r="G893" s="13" t="s">
        <v>37</v>
      </c>
      <c r="H893" s="13"/>
      <c r="I893" s="13"/>
      <c r="J893" s="17"/>
      <c r="K893" s="17"/>
      <c r="L893" s="3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6"/>
      <c r="C894" s="17"/>
      <c r="D894" s="17"/>
      <c r="E894" s="17"/>
      <c r="F894" s="13" t="s">
        <v>1100</v>
      </c>
      <c r="G894" s="13" t="s">
        <v>37</v>
      </c>
      <c r="H894" s="13" t="s">
        <v>22</v>
      </c>
      <c r="I894" s="13" t="s">
        <v>1101</v>
      </c>
      <c r="J894" s="17"/>
      <c r="K894" s="17"/>
      <c r="L894" s="3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6"/>
      <c r="C895" s="17"/>
      <c r="D895" s="17"/>
      <c r="E895" s="17"/>
      <c r="F895" s="13"/>
      <c r="G895" s="13"/>
      <c r="H895" s="13"/>
      <c r="I895" s="13"/>
      <c r="J895" s="17"/>
      <c r="K895" s="17"/>
      <c r="L895" s="3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25"/>
      <c r="C896" s="18"/>
      <c r="D896" s="13" t="s">
        <v>19</v>
      </c>
      <c r="E896" s="13">
        <v>3.0</v>
      </c>
      <c r="F896" s="13" t="s">
        <v>1102</v>
      </c>
      <c r="G896" s="13" t="s">
        <v>1103</v>
      </c>
      <c r="H896" s="13" t="s">
        <v>87</v>
      </c>
      <c r="I896" s="13" t="s">
        <v>1104</v>
      </c>
      <c r="J896" s="17"/>
      <c r="K896" s="17"/>
      <c r="L896" s="3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25"/>
      <c r="C897" s="18"/>
      <c r="D897" s="13"/>
      <c r="E897" s="13"/>
      <c r="F897" s="13" t="s">
        <v>1102</v>
      </c>
      <c r="G897" s="13" t="s">
        <v>1103</v>
      </c>
      <c r="H897" s="13" t="s">
        <v>47</v>
      </c>
      <c r="I897" s="13" t="s">
        <v>1105</v>
      </c>
      <c r="J897" s="17"/>
      <c r="K897" s="17"/>
      <c r="L897" s="3"/>
      <c r="M897" s="2" t="s">
        <v>1106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6"/>
      <c r="C898" s="17"/>
      <c r="D898" s="17"/>
      <c r="E898" s="17"/>
      <c r="F898" s="13" t="s">
        <v>1107</v>
      </c>
      <c r="G898" s="13" t="s">
        <v>1108</v>
      </c>
      <c r="H898" s="13" t="s">
        <v>47</v>
      </c>
      <c r="I898" s="13" t="s">
        <v>1109</v>
      </c>
      <c r="J898" s="13">
        <v>360.0</v>
      </c>
      <c r="K898" s="17"/>
      <c r="L898" s="3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6"/>
      <c r="C899" s="17"/>
      <c r="D899" s="17"/>
      <c r="E899" s="17"/>
      <c r="F899" s="13" t="s">
        <v>1110</v>
      </c>
      <c r="G899" s="13" t="s">
        <v>1103</v>
      </c>
      <c r="H899" s="13" t="s">
        <v>22</v>
      </c>
      <c r="I899" s="13" t="s">
        <v>1111</v>
      </c>
      <c r="J899" s="17"/>
      <c r="K899" s="17"/>
      <c r="L899" s="3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6"/>
      <c r="C900" s="17"/>
      <c r="D900" s="17"/>
      <c r="E900" s="17"/>
      <c r="F900" s="13" t="s">
        <v>1110</v>
      </c>
      <c r="G900" s="13" t="s">
        <v>1103</v>
      </c>
      <c r="H900" s="13" t="s">
        <v>22</v>
      </c>
      <c r="I900" s="13" t="s">
        <v>1112</v>
      </c>
      <c r="J900" s="17"/>
      <c r="K900" s="17"/>
      <c r="L900" s="3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6"/>
      <c r="C901" s="17"/>
      <c r="D901" s="17"/>
      <c r="E901" s="17"/>
      <c r="F901" s="13" t="s">
        <v>1110</v>
      </c>
      <c r="G901" s="13" t="s">
        <v>1103</v>
      </c>
      <c r="H901" s="17"/>
      <c r="I901" s="17"/>
      <c r="J901" s="17"/>
      <c r="K901" s="17"/>
      <c r="L901" s="3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6"/>
      <c r="C902" s="17"/>
      <c r="D902" s="17"/>
      <c r="E902" s="17"/>
      <c r="F902" s="13" t="s">
        <v>1113</v>
      </c>
      <c r="G902" s="13" t="s">
        <v>1114</v>
      </c>
      <c r="H902" s="17"/>
      <c r="I902" s="13" t="s">
        <v>1115</v>
      </c>
      <c r="J902" s="17"/>
      <c r="K902" s="17"/>
      <c r="L902" s="3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6"/>
      <c r="C903" s="17"/>
      <c r="D903" s="17"/>
      <c r="E903" s="17"/>
      <c r="F903" s="13"/>
      <c r="G903" s="13"/>
      <c r="H903" s="17"/>
      <c r="I903" s="17"/>
      <c r="J903" s="17"/>
      <c r="K903" s="17"/>
      <c r="L903" s="3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25"/>
      <c r="C904" s="18"/>
      <c r="D904" s="13" t="s">
        <v>19</v>
      </c>
      <c r="E904" s="13">
        <v>4.0</v>
      </c>
      <c r="F904" s="13" t="s">
        <v>352</v>
      </c>
      <c r="G904" s="13" t="s">
        <v>273</v>
      </c>
      <c r="H904" s="13" t="s">
        <v>22</v>
      </c>
      <c r="I904" s="13" t="s">
        <v>1116</v>
      </c>
      <c r="J904" s="17"/>
      <c r="K904" s="17"/>
      <c r="L904" s="3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6"/>
      <c r="C905" s="17"/>
      <c r="D905" s="18"/>
      <c r="E905" s="18"/>
      <c r="F905" s="13" t="s">
        <v>1117</v>
      </c>
      <c r="G905" s="13" t="s">
        <v>273</v>
      </c>
      <c r="H905" s="13" t="s">
        <v>22</v>
      </c>
      <c r="I905" s="13" t="s">
        <v>1118</v>
      </c>
      <c r="J905" s="13">
        <v>63.0</v>
      </c>
      <c r="K905" s="30">
        <v>329.0</v>
      </c>
      <c r="L905" s="3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6"/>
      <c r="C906" s="17"/>
      <c r="D906" s="17"/>
      <c r="E906" s="17"/>
      <c r="F906" s="13" t="s">
        <v>1117</v>
      </c>
      <c r="G906" s="13" t="s">
        <v>273</v>
      </c>
      <c r="H906" s="17"/>
      <c r="I906" s="17"/>
      <c r="J906" s="17"/>
      <c r="K906" s="17"/>
      <c r="L906" s="3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6"/>
      <c r="C907" s="17"/>
      <c r="D907" s="17"/>
      <c r="E907" s="17"/>
      <c r="F907" s="13"/>
      <c r="G907" s="17"/>
      <c r="H907" s="17"/>
      <c r="I907" s="17"/>
      <c r="J907" s="17"/>
      <c r="K907" s="17"/>
      <c r="L907" s="3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81">
        <v>32.0</v>
      </c>
      <c r="C908" s="82">
        <v>2.0</v>
      </c>
      <c r="D908" s="13">
        <v>1.0</v>
      </c>
      <c r="E908" s="13">
        <v>101.0</v>
      </c>
      <c r="F908" s="17"/>
      <c r="G908" s="17"/>
      <c r="H908" s="17"/>
      <c r="I908" s="17"/>
      <c r="J908" s="17"/>
      <c r="K908" s="17"/>
      <c r="L908" s="3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6"/>
      <c r="C909" s="17"/>
      <c r="D909" s="17"/>
      <c r="E909" s="17"/>
      <c r="F909" s="17"/>
      <c r="G909" s="17"/>
      <c r="H909" s="17"/>
      <c r="I909" s="17"/>
      <c r="J909" s="17"/>
      <c r="K909" s="17"/>
      <c r="L909" s="3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25"/>
      <c r="C910" s="18"/>
      <c r="D910" s="13">
        <v>1.0</v>
      </c>
      <c r="E910" s="13">
        <v>102.0</v>
      </c>
      <c r="F910" s="13" t="s">
        <v>1119</v>
      </c>
      <c r="G910" s="13" t="s">
        <v>1120</v>
      </c>
      <c r="H910" s="13" t="s">
        <v>22</v>
      </c>
      <c r="I910" s="13" t="s">
        <v>1121</v>
      </c>
      <c r="J910" s="13" t="s">
        <v>1122</v>
      </c>
      <c r="K910" s="30" t="s">
        <v>1123</v>
      </c>
      <c r="L910" s="3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6"/>
      <c r="C911" s="17"/>
      <c r="D911" s="17"/>
      <c r="E911" s="17"/>
      <c r="F911" s="13" t="s">
        <v>757</v>
      </c>
      <c r="G911" s="13" t="s">
        <v>1124</v>
      </c>
      <c r="H911" s="13" t="s">
        <v>87</v>
      </c>
      <c r="I911" s="13" t="s">
        <v>1125</v>
      </c>
      <c r="J911" s="17"/>
      <c r="K911" s="17"/>
      <c r="L911" s="3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6"/>
      <c r="C912" s="17"/>
      <c r="D912" s="17"/>
      <c r="E912" s="17"/>
      <c r="F912" s="13" t="s">
        <v>1126</v>
      </c>
      <c r="G912" s="13" t="s">
        <v>1120</v>
      </c>
      <c r="H912" s="13" t="s">
        <v>22</v>
      </c>
      <c r="I912" s="13" t="s">
        <v>1127</v>
      </c>
      <c r="J912" s="13">
        <v>150.0</v>
      </c>
      <c r="K912" s="56">
        <v>47322.0</v>
      </c>
      <c r="L912" s="57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6"/>
      <c r="C913" s="17"/>
      <c r="D913" s="17"/>
      <c r="E913" s="17"/>
      <c r="F913" s="13" t="s">
        <v>1126</v>
      </c>
      <c r="G913" s="13" t="s">
        <v>1120</v>
      </c>
      <c r="H913" s="13" t="s">
        <v>22</v>
      </c>
      <c r="I913" s="13" t="s">
        <v>1128</v>
      </c>
      <c r="J913" s="13"/>
      <c r="K913" s="67"/>
      <c r="L913" s="57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6"/>
      <c r="C914" s="17"/>
      <c r="D914" s="17"/>
      <c r="E914" s="17"/>
      <c r="F914" s="13" t="s">
        <v>488</v>
      </c>
      <c r="G914" s="13" t="s">
        <v>1129</v>
      </c>
      <c r="H914" s="13"/>
      <c r="I914" s="13"/>
      <c r="J914" s="13">
        <v>151.0</v>
      </c>
      <c r="K914" s="19"/>
      <c r="L914" s="57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6"/>
      <c r="C915" s="17"/>
      <c r="D915" s="17"/>
      <c r="E915" s="17"/>
      <c r="F915" s="13" t="s">
        <v>1130</v>
      </c>
      <c r="G915" s="13" t="s">
        <v>1131</v>
      </c>
      <c r="H915" s="13"/>
      <c r="I915" s="13"/>
      <c r="J915" s="13">
        <v>369.0</v>
      </c>
      <c r="K915" s="13"/>
      <c r="L915" s="6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6"/>
      <c r="C916" s="17"/>
      <c r="D916" s="17"/>
      <c r="E916" s="17"/>
      <c r="F916" s="13"/>
      <c r="G916" s="13"/>
      <c r="H916" s="13"/>
      <c r="I916" s="13"/>
      <c r="J916" s="17"/>
      <c r="K916" s="17"/>
      <c r="L916" s="3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25"/>
      <c r="C917" s="18"/>
      <c r="D917" s="13">
        <v>1.0</v>
      </c>
      <c r="E917" s="13">
        <v>103.0</v>
      </c>
      <c r="F917" s="13" t="s">
        <v>1132</v>
      </c>
      <c r="G917" s="13" t="s">
        <v>998</v>
      </c>
      <c r="H917" s="13" t="s">
        <v>22</v>
      </c>
      <c r="I917" s="163" t="s">
        <v>1133</v>
      </c>
      <c r="J917" s="13">
        <v>124.0</v>
      </c>
      <c r="K917" s="91">
        <v>3.0</v>
      </c>
      <c r="L917" s="73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6"/>
      <c r="C918" s="17"/>
      <c r="D918" s="17"/>
      <c r="E918" s="17"/>
      <c r="F918" s="13" t="s">
        <v>1134</v>
      </c>
      <c r="G918" s="13" t="s">
        <v>1135</v>
      </c>
      <c r="H918" s="17"/>
      <c r="I918" s="6" t="s">
        <v>439</v>
      </c>
      <c r="J918" s="17"/>
      <c r="K918" s="17"/>
      <c r="L918" s="3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6"/>
      <c r="C919" s="17"/>
      <c r="D919" s="17"/>
      <c r="E919" s="17"/>
      <c r="F919" s="17"/>
      <c r="G919" s="17"/>
      <c r="H919" s="17"/>
      <c r="I919" s="17"/>
      <c r="J919" s="17"/>
      <c r="K919" s="17"/>
      <c r="L919" s="3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25"/>
      <c r="C920" s="18"/>
      <c r="D920" s="13">
        <v>1.0</v>
      </c>
      <c r="E920" s="13">
        <v>104.0</v>
      </c>
      <c r="F920" s="13" t="s">
        <v>1136</v>
      </c>
      <c r="G920" s="13" t="s">
        <v>1137</v>
      </c>
      <c r="H920" s="13" t="s">
        <v>22</v>
      </c>
      <c r="I920" s="13" t="s">
        <v>1138</v>
      </c>
      <c r="J920" s="17"/>
      <c r="K920" s="17"/>
      <c r="L920" s="3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25"/>
      <c r="C921" s="18"/>
      <c r="D921" s="13"/>
      <c r="E921" s="13"/>
      <c r="F921" s="13" t="s">
        <v>1136</v>
      </c>
      <c r="G921" s="13" t="s">
        <v>1137</v>
      </c>
      <c r="H921" s="13" t="s">
        <v>22</v>
      </c>
      <c r="I921" s="13" t="s">
        <v>1139</v>
      </c>
      <c r="J921" s="17"/>
      <c r="K921" s="17"/>
      <c r="L921" s="3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6"/>
      <c r="C922" s="17"/>
      <c r="D922" s="17"/>
      <c r="E922" s="17"/>
      <c r="F922" s="17"/>
      <c r="G922" s="17"/>
      <c r="H922" s="17"/>
      <c r="I922" s="17"/>
      <c r="J922" s="17"/>
      <c r="K922" s="17"/>
      <c r="L922" s="3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81">
        <v>32.0</v>
      </c>
      <c r="C923" s="82">
        <v>2.0</v>
      </c>
      <c r="D923" s="13">
        <v>2.0</v>
      </c>
      <c r="E923" s="13">
        <v>201.0</v>
      </c>
      <c r="F923" s="13" t="s">
        <v>63</v>
      </c>
      <c r="G923" s="13" t="s">
        <v>400</v>
      </c>
      <c r="H923" s="13" t="s">
        <v>22</v>
      </c>
      <c r="I923" s="26" t="s">
        <v>1140</v>
      </c>
      <c r="J923" s="13">
        <v>67.0</v>
      </c>
      <c r="K923" s="72">
        <v>6.0</v>
      </c>
      <c r="L923" s="73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26"/>
      <c r="C924" s="127"/>
      <c r="D924" s="18"/>
      <c r="E924" s="18"/>
      <c r="F924" s="13" t="s">
        <v>1141</v>
      </c>
      <c r="G924" s="13" t="s">
        <v>710</v>
      </c>
      <c r="H924" s="18"/>
      <c r="I924" s="74"/>
      <c r="J924" s="13">
        <v>66.0</v>
      </c>
      <c r="K924" s="75"/>
      <c r="L924" s="73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26"/>
      <c r="C925" s="127"/>
      <c r="D925" s="18"/>
      <c r="E925" s="18"/>
      <c r="F925" s="13" t="s">
        <v>1142</v>
      </c>
      <c r="G925" s="13" t="s">
        <v>400</v>
      </c>
      <c r="H925" s="17"/>
      <c r="I925" s="17"/>
      <c r="J925" s="17"/>
      <c r="K925" s="17"/>
      <c r="L925" s="3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6"/>
      <c r="C926" s="17"/>
      <c r="D926" s="17"/>
      <c r="E926" s="17"/>
      <c r="F926" s="17"/>
      <c r="G926" s="17"/>
      <c r="H926" s="17"/>
      <c r="I926" s="17"/>
      <c r="J926" s="17"/>
      <c r="K926" s="17"/>
      <c r="L926" s="3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25"/>
      <c r="C927" s="18"/>
      <c r="D927" s="13">
        <v>2.0</v>
      </c>
      <c r="E927" s="13">
        <v>202.0</v>
      </c>
      <c r="F927" s="13" t="s">
        <v>703</v>
      </c>
      <c r="G927" s="13" t="s">
        <v>500</v>
      </c>
      <c r="H927" s="17"/>
      <c r="I927" s="17"/>
      <c r="J927" s="17"/>
      <c r="K927" s="17"/>
      <c r="L927" s="3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6"/>
      <c r="C928" s="17"/>
      <c r="D928" s="18"/>
      <c r="E928" s="18"/>
      <c r="F928" s="13" t="s">
        <v>1143</v>
      </c>
      <c r="G928" s="13" t="s">
        <v>1144</v>
      </c>
      <c r="H928" s="18"/>
      <c r="I928" s="74"/>
      <c r="J928" s="13">
        <v>107.0</v>
      </c>
      <c r="K928" s="72">
        <v>6.0</v>
      </c>
      <c r="L928" s="73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6"/>
      <c r="C929" s="17"/>
      <c r="D929" s="18"/>
      <c r="E929" s="18"/>
      <c r="F929" s="13" t="s">
        <v>1145</v>
      </c>
      <c r="G929" s="13" t="s">
        <v>500</v>
      </c>
      <c r="H929" s="18"/>
      <c r="I929" s="74"/>
      <c r="J929" s="13">
        <v>108.0</v>
      </c>
      <c r="K929" s="75"/>
      <c r="L929" s="73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6"/>
      <c r="C930" s="17"/>
      <c r="D930" s="17"/>
      <c r="E930" s="17"/>
      <c r="F930" s="17"/>
      <c r="G930" s="17"/>
      <c r="H930" s="17"/>
      <c r="I930" s="17"/>
      <c r="J930" s="17"/>
      <c r="K930" s="17"/>
      <c r="L930" s="3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25"/>
      <c r="C931" s="18"/>
      <c r="D931" s="13">
        <v>2.0</v>
      </c>
      <c r="E931" s="13">
        <v>203.0</v>
      </c>
      <c r="F931" s="13" t="s">
        <v>1146</v>
      </c>
      <c r="G931" s="13" t="s">
        <v>801</v>
      </c>
      <c r="H931" s="13"/>
      <c r="I931" s="13" t="s">
        <v>1147</v>
      </c>
      <c r="J931" s="17"/>
      <c r="K931" s="17"/>
      <c r="L931" s="3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25"/>
      <c r="C932" s="18"/>
      <c r="D932" s="13"/>
      <c r="E932" s="13"/>
      <c r="F932" s="13" t="s">
        <v>1148</v>
      </c>
      <c r="G932" s="13" t="s">
        <v>801</v>
      </c>
      <c r="H932" s="13"/>
      <c r="I932" s="13" t="s">
        <v>1149</v>
      </c>
      <c r="J932" s="17"/>
      <c r="K932" s="17"/>
      <c r="L932" s="3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6"/>
      <c r="C933" s="17"/>
      <c r="D933" s="17"/>
      <c r="E933" s="17"/>
      <c r="F933" s="13" t="s">
        <v>1150</v>
      </c>
      <c r="G933" s="13" t="s">
        <v>423</v>
      </c>
      <c r="H933" s="17"/>
      <c r="I933" s="13" t="s">
        <v>1151</v>
      </c>
      <c r="J933" s="17"/>
      <c r="K933" s="17"/>
      <c r="L933" s="3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6"/>
      <c r="C934" s="17"/>
      <c r="D934" s="17"/>
      <c r="E934" s="17"/>
      <c r="F934" s="17"/>
      <c r="G934" s="17"/>
      <c r="H934" s="17"/>
      <c r="I934" s="17"/>
      <c r="J934" s="17"/>
      <c r="K934" s="17"/>
      <c r="L934" s="3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25"/>
      <c r="C935" s="18"/>
      <c r="D935" s="13">
        <v>2.0</v>
      </c>
      <c r="E935" s="13">
        <v>204.0</v>
      </c>
      <c r="F935" s="13" t="s">
        <v>1152</v>
      </c>
      <c r="G935" s="13" t="s">
        <v>1153</v>
      </c>
      <c r="H935" s="17"/>
      <c r="I935" s="17"/>
      <c r="J935" s="17"/>
      <c r="K935" s="17"/>
      <c r="L935" s="3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6"/>
      <c r="C936" s="17"/>
      <c r="D936" s="18"/>
      <c r="E936" s="18"/>
      <c r="F936" s="13" t="s">
        <v>105</v>
      </c>
      <c r="G936" s="13" t="s">
        <v>1153</v>
      </c>
      <c r="H936" s="17"/>
      <c r="I936" s="17"/>
      <c r="J936" s="17"/>
      <c r="K936" s="17"/>
      <c r="L936" s="3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6"/>
      <c r="C937" s="17"/>
      <c r="D937" s="18"/>
      <c r="E937" s="18"/>
      <c r="F937" s="13" t="s">
        <v>318</v>
      </c>
      <c r="G937" s="13" t="s">
        <v>1153</v>
      </c>
      <c r="H937" s="13" t="s">
        <v>22</v>
      </c>
      <c r="I937" s="13" t="s">
        <v>1154</v>
      </c>
      <c r="J937" s="13">
        <v>65.0</v>
      </c>
      <c r="K937" s="164">
        <v>6673.0</v>
      </c>
      <c r="L937" s="165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6"/>
      <c r="C938" s="17"/>
      <c r="D938" s="18"/>
      <c r="E938" s="18"/>
      <c r="F938" s="13" t="s">
        <v>318</v>
      </c>
      <c r="G938" s="13" t="s">
        <v>1153</v>
      </c>
      <c r="H938" s="13" t="s">
        <v>47</v>
      </c>
      <c r="I938" s="13" t="s">
        <v>1155</v>
      </c>
      <c r="J938" s="13" t="s">
        <v>1156</v>
      </c>
      <c r="K938" s="164" t="s">
        <v>1157</v>
      </c>
      <c r="L938" s="165"/>
      <c r="M938" s="2" t="s">
        <v>1158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6"/>
      <c r="C939" s="17"/>
      <c r="D939" s="18"/>
      <c r="E939" s="18"/>
      <c r="F939" s="13" t="s">
        <v>318</v>
      </c>
      <c r="G939" s="13" t="s">
        <v>1153</v>
      </c>
      <c r="H939" s="13" t="s">
        <v>22</v>
      </c>
      <c r="I939" s="13" t="s">
        <v>1159</v>
      </c>
      <c r="J939" s="13"/>
      <c r="K939" s="164"/>
      <c r="L939" s="165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6"/>
      <c r="C940" s="17"/>
      <c r="D940" s="18"/>
      <c r="E940" s="18"/>
      <c r="F940" s="13" t="s">
        <v>116</v>
      </c>
      <c r="G940" s="13" t="s">
        <v>1153</v>
      </c>
      <c r="H940" s="17"/>
      <c r="I940" s="17"/>
      <c r="J940" s="17"/>
      <c r="K940" s="17"/>
      <c r="L940" s="3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6"/>
      <c r="C941" s="17"/>
      <c r="D941" s="18"/>
      <c r="E941" s="18"/>
      <c r="F941" s="13" t="s">
        <v>268</v>
      </c>
      <c r="G941" s="13" t="s">
        <v>161</v>
      </c>
      <c r="H941" s="17"/>
      <c r="I941" s="17"/>
      <c r="J941" s="17"/>
      <c r="K941" s="17"/>
      <c r="L941" s="3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6"/>
      <c r="C942" s="17"/>
      <c r="D942" s="18"/>
      <c r="E942" s="18"/>
      <c r="F942" s="13" t="s">
        <v>1160</v>
      </c>
      <c r="G942" s="13" t="s">
        <v>161</v>
      </c>
      <c r="H942" s="17"/>
      <c r="I942" s="17"/>
      <c r="J942" s="17"/>
      <c r="K942" s="17"/>
      <c r="L942" s="3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6"/>
      <c r="C943" s="17"/>
      <c r="D943" s="17"/>
      <c r="E943" s="17"/>
      <c r="F943" s="17"/>
      <c r="G943" s="17"/>
      <c r="H943" s="17"/>
      <c r="I943" s="17"/>
      <c r="J943" s="17"/>
      <c r="K943" s="17"/>
      <c r="L943" s="3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81">
        <v>32.0</v>
      </c>
      <c r="C944" s="82">
        <v>2.0</v>
      </c>
      <c r="D944" s="13">
        <v>3.0</v>
      </c>
      <c r="E944" s="13">
        <v>301.0</v>
      </c>
      <c r="F944" s="13" t="s">
        <v>1161</v>
      </c>
      <c r="G944" s="13" t="s">
        <v>1162</v>
      </c>
      <c r="H944" s="13" t="s">
        <v>22</v>
      </c>
      <c r="I944" s="13" t="s">
        <v>1163</v>
      </c>
      <c r="J944" s="17"/>
      <c r="K944" s="17"/>
      <c r="L944" s="3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6"/>
      <c r="C945" s="17"/>
      <c r="D945" s="17"/>
      <c r="E945" s="17"/>
      <c r="F945" s="17"/>
      <c r="G945" s="17"/>
      <c r="H945" s="17"/>
      <c r="I945" s="17"/>
      <c r="J945" s="17"/>
      <c r="K945" s="17"/>
      <c r="L945" s="3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25"/>
      <c r="C946" s="18"/>
      <c r="D946" s="13">
        <v>3.0</v>
      </c>
      <c r="E946" s="40">
        <v>302.0</v>
      </c>
      <c r="F946" s="13" t="s">
        <v>94</v>
      </c>
      <c r="G946" s="13" t="s">
        <v>1164</v>
      </c>
      <c r="H946" s="13" t="s">
        <v>87</v>
      </c>
      <c r="I946" s="13" t="s">
        <v>1165</v>
      </c>
      <c r="J946" s="17"/>
      <c r="K946" s="17"/>
      <c r="L946" s="3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6"/>
      <c r="C947" s="17"/>
      <c r="D947" s="17"/>
      <c r="E947" s="17"/>
      <c r="F947" s="17"/>
      <c r="G947" s="17"/>
      <c r="H947" s="17"/>
      <c r="I947" s="17"/>
      <c r="J947" s="17"/>
      <c r="K947" s="17"/>
      <c r="L947" s="3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25"/>
      <c r="C948" s="18"/>
      <c r="D948" s="13">
        <v>3.0</v>
      </c>
      <c r="E948" s="13">
        <v>303.0</v>
      </c>
      <c r="F948" s="13" t="s">
        <v>1166</v>
      </c>
      <c r="G948" s="17"/>
      <c r="H948" s="17"/>
      <c r="I948" s="17"/>
      <c r="J948" s="13">
        <v>274.0</v>
      </c>
      <c r="K948" s="13" t="s">
        <v>62</v>
      </c>
      <c r="L948" s="6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6"/>
      <c r="C949" s="17"/>
      <c r="D949" s="17"/>
      <c r="E949" s="17"/>
      <c r="F949" s="13" t="s">
        <v>1167</v>
      </c>
      <c r="G949" s="17"/>
      <c r="H949" s="17"/>
      <c r="I949" s="17"/>
      <c r="J949" s="13">
        <v>375.0</v>
      </c>
      <c r="K949" s="13" t="s">
        <v>56</v>
      </c>
      <c r="L949" s="6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25"/>
      <c r="C950" s="18"/>
      <c r="D950" s="13"/>
      <c r="E950" s="13"/>
      <c r="F950" s="13"/>
      <c r="G950" s="13"/>
      <c r="H950" s="13"/>
      <c r="I950" s="13"/>
      <c r="J950" s="17"/>
      <c r="K950" s="17"/>
      <c r="L950" s="3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25"/>
      <c r="C951" s="13" t="s">
        <v>1168</v>
      </c>
      <c r="D951" s="13">
        <v>3.0</v>
      </c>
      <c r="E951" s="13">
        <v>304.0</v>
      </c>
      <c r="F951" s="13" t="s">
        <v>1169</v>
      </c>
      <c r="G951" s="13" t="s">
        <v>1170</v>
      </c>
      <c r="H951" s="13" t="s">
        <v>22</v>
      </c>
      <c r="I951" s="13" t="s">
        <v>1171</v>
      </c>
      <c r="J951" s="13">
        <v>357.0</v>
      </c>
      <c r="K951" s="13" t="s">
        <v>1172</v>
      </c>
      <c r="L951" s="6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25"/>
      <c r="C952" s="18"/>
      <c r="D952" s="13"/>
      <c r="E952" s="13"/>
      <c r="F952" s="13" t="s">
        <v>757</v>
      </c>
      <c r="G952" s="13" t="s">
        <v>1173</v>
      </c>
      <c r="H952" s="13" t="s">
        <v>22</v>
      </c>
      <c r="I952" s="13" t="s">
        <v>1174</v>
      </c>
      <c r="J952" s="17"/>
      <c r="K952" s="17"/>
      <c r="L952" s="3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25"/>
      <c r="C953" s="18"/>
      <c r="D953" s="13"/>
      <c r="E953" s="13"/>
      <c r="F953" s="13"/>
      <c r="G953" s="13"/>
      <c r="H953" s="13"/>
      <c r="I953" s="13"/>
      <c r="J953" s="17"/>
      <c r="K953" s="17"/>
      <c r="L953" s="3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6"/>
      <c r="C954" s="17"/>
      <c r="D954" s="17"/>
      <c r="E954" s="17"/>
      <c r="F954" s="13" t="s">
        <v>1175</v>
      </c>
      <c r="G954" s="13" t="s">
        <v>750</v>
      </c>
      <c r="H954" s="13" t="s">
        <v>22</v>
      </c>
      <c r="I954" s="13" t="s">
        <v>1176</v>
      </c>
      <c r="J954" s="17"/>
      <c r="K954" s="17"/>
      <c r="L954" s="3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6"/>
      <c r="C955" s="17"/>
      <c r="D955" s="17"/>
      <c r="E955" s="17"/>
      <c r="F955" s="13"/>
      <c r="G955" s="13"/>
      <c r="H955" s="13"/>
      <c r="I955" s="17"/>
      <c r="J955" s="17"/>
      <c r="K955" s="17"/>
      <c r="L955" s="3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81">
        <v>32.0</v>
      </c>
      <c r="C956" s="82">
        <v>2.0</v>
      </c>
      <c r="D956" s="13">
        <v>4.0</v>
      </c>
      <c r="E956" s="13">
        <v>401.0</v>
      </c>
      <c r="F956" s="13" t="s">
        <v>286</v>
      </c>
      <c r="G956" s="13" t="s">
        <v>1177</v>
      </c>
      <c r="H956" s="13" t="s">
        <v>22</v>
      </c>
      <c r="I956" s="13" t="s">
        <v>1178</v>
      </c>
      <c r="J956" s="17"/>
      <c r="K956" s="17"/>
      <c r="L956" s="3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6"/>
      <c r="C957" s="17"/>
      <c r="D957" s="17"/>
      <c r="E957" s="17"/>
      <c r="F957" s="13" t="s">
        <v>1179</v>
      </c>
      <c r="G957" s="13" t="s">
        <v>1177</v>
      </c>
      <c r="H957" s="13" t="s">
        <v>260</v>
      </c>
      <c r="I957" s="13" t="s">
        <v>1180</v>
      </c>
      <c r="J957" s="17"/>
      <c r="K957" s="17"/>
      <c r="L957" s="3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6"/>
      <c r="C958" s="17"/>
      <c r="D958" s="17"/>
      <c r="E958" s="17"/>
      <c r="F958" s="13" t="s">
        <v>1181</v>
      </c>
      <c r="G958" s="13"/>
      <c r="H958" s="13" t="s">
        <v>22</v>
      </c>
      <c r="I958" s="13" t="s">
        <v>1182</v>
      </c>
      <c r="J958" s="17"/>
      <c r="K958" s="17"/>
      <c r="L958" s="3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6"/>
      <c r="C959" s="17"/>
      <c r="D959" s="17"/>
      <c r="E959" s="17"/>
      <c r="F959" s="13"/>
      <c r="G959" s="13"/>
      <c r="H959" s="13"/>
      <c r="I959" s="17"/>
      <c r="J959" s="17"/>
      <c r="K959" s="17"/>
      <c r="L959" s="3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25"/>
      <c r="C960" s="18"/>
      <c r="D960" s="13">
        <v>4.0</v>
      </c>
      <c r="E960" s="13">
        <v>402.0</v>
      </c>
      <c r="F960" s="13" t="s">
        <v>1183</v>
      </c>
      <c r="G960" s="13" t="s">
        <v>1184</v>
      </c>
      <c r="H960" s="13" t="s">
        <v>22</v>
      </c>
      <c r="I960" s="13" t="s">
        <v>1185</v>
      </c>
      <c r="J960" s="13">
        <v>272.0</v>
      </c>
      <c r="K960" s="37">
        <v>6.0</v>
      </c>
      <c r="L960" s="27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25"/>
      <c r="C961" s="18"/>
      <c r="D961" s="13"/>
      <c r="E961" s="13"/>
      <c r="F961" s="13" t="s">
        <v>1186</v>
      </c>
      <c r="G961" s="13" t="s">
        <v>1187</v>
      </c>
      <c r="H961" s="17"/>
      <c r="I961" s="17"/>
      <c r="J961" s="13">
        <v>274.0</v>
      </c>
      <c r="K961" s="19"/>
      <c r="L961" s="27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25"/>
      <c r="C962" s="18"/>
      <c r="D962" s="13"/>
      <c r="E962" s="13"/>
      <c r="F962" s="13"/>
      <c r="G962" s="13"/>
      <c r="H962" s="17"/>
      <c r="I962" s="17"/>
      <c r="J962" s="17"/>
      <c r="K962" s="17"/>
      <c r="L962" s="3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6"/>
      <c r="C963" s="17"/>
      <c r="D963" s="17"/>
      <c r="E963" s="17"/>
      <c r="F963" s="17"/>
      <c r="G963" s="17"/>
      <c r="H963" s="17"/>
      <c r="I963" s="17"/>
      <c r="J963" s="17"/>
      <c r="K963" s="17"/>
      <c r="L963" s="3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25"/>
      <c r="C964" s="18"/>
      <c r="D964" s="13">
        <v>4.0</v>
      </c>
      <c r="E964" s="13">
        <v>403.0</v>
      </c>
      <c r="F964" s="13" t="s">
        <v>1188</v>
      </c>
      <c r="G964" s="13" t="s">
        <v>813</v>
      </c>
      <c r="H964" s="13" t="s">
        <v>22</v>
      </c>
      <c r="I964" s="13" t="s">
        <v>1189</v>
      </c>
      <c r="J964" s="13">
        <v>269.0</v>
      </c>
      <c r="K964" s="37">
        <v>6.0</v>
      </c>
      <c r="L964" s="27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25"/>
      <c r="C965" s="18"/>
      <c r="D965" s="13"/>
      <c r="E965" s="13"/>
      <c r="F965" s="13" t="s">
        <v>1188</v>
      </c>
      <c r="G965" s="13" t="s">
        <v>813</v>
      </c>
      <c r="H965" s="13" t="s">
        <v>22</v>
      </c>
      <c r="I965" s="13"/>
      <c r="J965" s="13"/>
      <c r="K965" s="67"/>
      <c r="L965" s="27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25"/>
      <c r="C966" s="18"/>
      <c r="D966" s="13"/>
      <c r="E966" s="13"/>
      <c r="F966" s="13" t="s">
        <v>160</v>
      </c>
      <c r="G966" s="13" t="s">
        <v>1190</v>
      </c>
      <c r="H966" s="17"/>
      <c r="I966" s="17"/>
      <c r="J966" s="13">
        <v>270.0</v>
      </c>
      <c r="K966" s="67"/>
      <c r="L966" s="27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6"/>
      <c r="C967" s="17"/>
      <c r="D967" s="17"/>
      <c r="E967" s="17"/>
      <c r="F967" s="13" t="s">
        <v>1191</v>
      </c>
      <c r="G967" s="13" t="s">
        <v>813</v>
      </c>
      <c r="H967" s="17"/>
      <c r="I967" s="17"/>
      <c r="K967" s="26"/>
      <c r="L967" s="27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6"/>
      <c r="C968" s="17"/>
      <c r="D968" s="17"/>
      <c r="E968" s="17"/>
      <c r="F968" s="13"/>
      <c r="G968" s="13"/>
      <c r="H968" s="17"/>
      <c r="I968" s="17"/>
      <c r="K968" s="26"/>
      <c r="L968" s="27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25"/>
      <c r="C969" s="18"/>
      <c r="D969" s="13">
        <v>4.0</v>
      </c>
      <c r="E969" s="13">
        <v>404.0</v>
      </c>
      <c r="F969" s="13" t="s">
        <v>328</v>
      </c>
      <c r="G969" s="13" t="s">
        <v>1192</v>
      </c>
      <c r="H969" s="17"/>
      <c r="I969" s="17"/>
      <c r="J969" s="13">
        <v>173.0</v>
      </c>
      <c r="K969" s="104">
        <v>46323.0</v>
      </c>
      <c r="L969" s="57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6"/>
      <c r="C970" s="17"/>
      <c r="D970" s="17"/>
      <c r="E970" s="17"/>
      <c r="F970" s="13" t="s">
        <v>1193</v>
      </c>
      <c r="G970" s="13" t="s">
        <v>1194</v>
      </c>
      <c r="H970" s="13" t="s">
        <v>22</v>
      </c>
      <c r="I970" s="13" t="s">
        <v>1195</v>
      </c>
      <c r="J970" s="13" t="s">
        <v>1196</v>
      </c>
      <c r="K970" s="13" t="s">
        <v>1197</v>
      </c>
      <c r="L970" s="6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6"/>
      <c r="C971" s="17"/>
      <c r="D971" s="17"/>
      <c r="E971" s="17"/>
      <c r="F971" s="13" t="s">
        <v>1193</v>
      </c>
      <c r="G971" s="13" t="s">
        <v>1194</v>
      </c>
      <c r="H971" s="13"/>
      <c r="I971" s="13" t="s">
        <v>1198</v>
      </c>
      <c r="J971" s="13"/>
      <c r="K971" s="13"/>
      <c r="L971" s="6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6"/>
      <c r="C972" s="17"/>
      <c r="D972" s="17"/>
      <c r="E972" s="17"/>
      <c r="F972" s="13" t="s">
        <v>1199</v>
      </c>
      <c r="G972" s="13" t="s">
        <v>273</v>
      </c>
      <c r="H972" s="17"/>
      <c r="I972" s="17"/>
      <c r="J972" s="17"/>
      <c r="K972" s="17"/>
      <c r="L972" s="3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6"/>
      <c r="C973" s="17"/>
      <c r="D973" s="17"/>
      <c r="E973" s="17"/>
      <c r="F973" s="13" t="s">
        <v>1200</v>
      </c>
      <c r="G973" s="13" t="s">
        <v>1194</v>
      </c>
      <c r="H973" s="17"/>
      <c r="I973" s="17"/>
      <c r="J973" s="13">
        <v>289.0</v>
      </c>
      <c r="K973" s="13">
        <v>5113.0</v>
      </c>
      <c r="L973" s="6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6"/>
      <c r="C974" s="17"/>
      <c r="D974" s="17"/>
      <c r="E974" s="17"/>
      <c r="F974" s="17"/>
      <c r="G974" s="17"/>
      <c r="H974" s="17"/>
      <c r="I974" s="17"/>
      <c r="J974" s="17"/>
      <c r="K974" s="17"/>
      <c r="L974" s="3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38">
        <v>32.0</v>
      </c>
      <c r="C975" s="39">
        <v>3.0</v>
      </c>
      <c r="D975" s="13" t="s">
        <v>19</v>
      </c>
      <c r="E975" s="13">
        <v>1.0</v>
      </c>
      <c r="F975" s="13" t="s">
        <v>730</v>
      </c>
      <c r="G975" s="13" t="s">
        <v>1201</v>
      </c>
      <c r="H975" s="18"/>
      <c r="I975" s="18"/>
      <c r="J975" s="13">
        <v>47.0</v>
      </c>
      <c r="K975" s="42" t="s">
        <v>62</v>
      </c>
      <c r="L975" s="43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6"/>
      <c r="C976" s="99"/>
      <c r="D976" s="18"/>
      <c r="E976" s="18"/>
      <c r="F976" s="13" t="s">
        <v>63</v>
      </c>
      <c r="G976" s="13" t="s">
        <v>1202</v>
      </c>
      <c r="H976" s="13" t="s">
        <v>22</v>
      </c>
      <c r="I976" s="13" t="s">
        <v>1203</v>
      </c>
      <c r="J976" s="13">
        <v>48.0</v>
      </c>
      <c r="K976" s="42" t="s">
        <v>62</v>
      </c>
      <c r="L976" s="43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6"/>
      <c r="C977" s="99"/>
      <c r="D977" s="18"/>
      <c r="E977" s="18"/>
      <c r="F977" s="13" t="s">
        <v>857</v>
      </c>
      <c r="G977" s="13" t="s">
        <v>1204</v>
      </c>
      <c r="H977" s="13" t="s">
        <v>22</v>
      </c>
      <c r="I977" s="13" t="s">
        <v>1205</v>
      </c>
      <c r="J977" s="13">
        <v>49.0</v>
      </c>
      <c r="K977" s="42" t="s">
        <v>62</v>
      </c>
      <c r="L977" s="43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6"/>
      <c r="C978" s="99"/>
      <c r="D978" s="18"/>
      <c r="E978" s="18"/>
      <c r="F978" s="13" t="s">
        <v>1206</v>
      </c>
      <c r="G978" s="13" t="s">
        <v>548</v>
      </c>
      <c r="H978" s="13" t="s">
        <v>22</v>
      </c>
      <c r="I978" s="13" t="s">
        <v>1207</v>
      </c>
      <c r="J978" s="13">
        <v>0.0</v>
      </c>
      <c r="K978" s="42" t="s">
        <v>62</v>
      </c>
      <c r="L978" s="43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3"/>
      <c r="C979" s="98"/>
      <c r="D979" s="17"/>
      <c r="E979" s="17"/>
      <c r="F979" s="13" t="s">
        <v>1208</v>
      </c>
      <c r="G979" s="13" t="s">
        <v>1209</v>
      </c>
      <c r="H979" s="13" t="s">
        <v>22</v>
      </c>
      <c r="I979" s="13" t="s">
        <v>1210</v>
      </c>
      <c r="J979" s="17"/>
      <c r="K979" s="17"/>
      <c r="L979" s="3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3"/>
      <c r="C980" s="99"/>
      <c r="D980" s="17"/>
      <c r="E980" s="17"/>
      <c r="F980" s="13"/>
      <c r="G980" s="13"/>
      <c r="H980" s="13"/>
      <c r="I980" s="13"/>
      <c r="J980" s="17"/>
      <c r="K980" s="17"/>
      <c r="L980" s="3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66"/>
      <c r="C981" s="101"/>
      <c r="D981" s="13" t="s">
        <v>19</v>
      </c>
      <c r="E981" s="13">
        <v>2.0</v>
      </c>
      <c r="F981" s="13" t="s">
        <v>1211</v>
      </c>
      <c r="G981" s="13" t="s">
        <v>409</v>
      </c>
      <c r="H981" s="18"/>
      <c r="I981" s="18"/>
      <c r="J981" s="13">
        <v>53.0</v>
      </c>
      <c r="K981" s="13">
        <v>5847.0</v>
      </c>
      <c r="L981" s="6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98"/>
      <c r="C982" s="99"/>
      <c r="D982" s="17"/>
      <c r="E982" s="17"/>
      <c r="F982" s="17"/>
      <c r="G982" s="17"/>
      <c r="H982" s="17"/>
      <c r="I982" s="17"/>
      <c r="J982" s="17"/>
      <c r="K982" s="17"/>
      <c r="L982" s="3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00"/>
      <c r="C983" s="101"/>
      <c r="D983" s="13" t="s">
        <v>19</v>
      </c>
      <c r="E983" s="13">
        <v>3.0</v>
      </c>
      <c r="F983" s="13" t="s">
        <v>114</v>
      </c>
      <c r="G983" s="13" t="s">
        <v>1212</v>
      </c>
      <c r="H983" s="18"/>
      <c r="I983" s="18"/>
      <c r="J983" s="13">
        <v>94.0</v>
      </c>
      <c r="K983" s="30">
        <v>16044.0</v>
      </c>
      <c r="L983" s="3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98"/>
      <c r="C984" s="99"/>
      <c r="D984" s="18"/>
      <c r="E984" s="18"/>
      <c r="F984" s="13" t="s">
        <v>452</v>
      </c>
      <c r="G984" s="13" t="s">
        <v>562</v>
      </c>
      <c r="H984" s="18"/>
      <c r="I984" s="18"/>
      <c r="J984" s="13">
        <v>95.0</v>
      </c>
      <c r="K984" s="30">
        <v>17547.0</v>
      </c>
      <c r="L984" s="3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98"/>
      <c r="C985" s="99"/>
      <c r="D985" s="18"/>
      <c r="E985" s="18"/>
      <c r="F985" s="13"/>
      <c r="G985" s="13"/>
      <c r="H985" s="18"/>
      <c r="I985" s="18"/>
      <c r="J985" s="13"/>
      <c r="K985" s="30"/>
      <c r="L985" s="3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98"/>
      <c r="C986" s="99"/>
      <c r="D986" s="18"/>
      <c r="E986" s="18"/>
      <c r="F986" s="13"/>
      <c r="G986" s="13"/>
      <c r="H986" s="18"/>
      <c r="I986" s="18"/>
      <c r="J986" s="13"/>
      <c r="K986" s="30"/>
      <c r="L986" s="3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00"/>
      <c r="C987" s="101"/>
      <c r="D987" s="13" t="s">
        <v>19</v>
      </c>
      <c r="E987" s="13">
        <v>4.0</v>
      </c>
      <c r="F987" s="13" t="s">
        <v>1213</v>
      </c>
      <c r="G987" s="13" t="s">
        <v>129</v>
      </c>
      <c r="H987" s="18"/>
      <c r="I987" s="18"/>
      <c r="J987" s="13">
        <v>60.0</v>
      </c>
      <c r="K987" s="30">
        <v>89848.0</v>
      </c>
      <c r="L987" s="3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98"/>
      <c r="C988" s="99"/>
      <c r="D988" s="17"/>
      <c r="E988" s="17"/>
      <c r="F988" s="13" t="s">
        <v>1214</v>
      </c>
      <c r="G988" s="17"/>
      <c r="H988" s="17"/>
      <c r="I988" s="17"/>
      <c r="J988" s="13">
        <v>356.0</v>
      </c>
      <c r="K988" s="13" t="s">
        <v>1172</v>
      </c>
      <c r="L988" s="6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98"/>
      <c r="C989" s="99"/>
      <c r="D989" s="17"/>
      <c r="E989" s="17"/>
      <c r="F989" s="17"/>
      <c r="G989" s="17"/>
      <c r="H989" s="17"/>
      <c r="I989" s="17"/>
      <c r="J989" s="13"/>
      <c r="K989" s="13"/>
      <c r="L989" s="6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00"/>
      <c r="C990" s="101"/>
      <c r="D990" s="13" t="s">
        <v>19</v>
      </c>
      <c r="E990" s="40">
        <v>5.0</v>
      </c>
      <c r="F990" s="13" t="s">
        <v>1215</v>
      </c>
      <c r="G990" s="13"/>
      <c r="H990" s="13" t="s">
        <v>22</v>
      </c>
      <c r="I990" s="17"/>
      <c r="J990" s="13">
        <v>326.0</v>
      </c>
      <c r="K990" s="13">
        <v>5627.0</v>
      </c>
      <c r="L990" s="6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98"/>
      <c r="C991" s="99"/>
      <c r="D991" s="17"/>
      <c r="E991" s="17"/>
      <c r="F991" s="13" t="s">
        <v>1216</v>
      </c>
      <c r="G991" s="17"/>
      <c r="H991" s="17"/>
      <c r="I991" s="17"/>
      <c r="J991" s="13">
        <v>332.0</v>
      </c>
      <c r="K991" s="13" t="s">
        <v>121</v>
      </c>
      <c r="L991" s="6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98"/>
      <c r="C992" s="99"/>
      <c r="D992" s="17"/>
      <c r="E992" s="17"/>
      <c r="F992" s="13" t="s">
        <v>1217</v>
      </c>
      <c r="G992" s="17"/>
      <c r="H992" s="17"/>
      <c r="I992" s="17"/>
      <c r="J992" s="13">
        <v>333.0</v>
      </c>
      <c r="K992" s="13" t="s">
        <v>1218</v>
      </c>
      <c r="L992" s="6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98"/>
      <c r="C993" s="99"/>
      <c r="D993" s="17"/>
      <c r="E993" s="17"/>
      <c r="F993" s="13" t="s">
        <v>99</v>
      </c>
      <c r="G993" s="17"/>
      <c r="H993" s="17"/>
      <c r="I993" s="17"/>
      <c r="J993" s="13">
        <v>379.0</v>
      </c>
      <c r="K993" s="13" t="s">
        <v>496</v>
      </c>
      <c r="L993" s="6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98"/>
      <c r="C994" s="99"/>
      <c r="D994" s="17"/>
      <c r="E994" s="17"/>
      <c r="F994" s="17"/>
      <c r="G994" s="17"/>
      <c r="H994" s="17"/>
      <c r="I994" s="17"/>
      <c r="J994" s="17"/>
      <c r="K994" s="17"/>
      <c r="L994" s="3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38">
        <v>32.0</v>
      </c>
      <c r="C995" s="39">
        <v>3.0</v>
      </c>
      <c r="D995" s="13">
        <v>1.0</v>
      </c>
      <c r="E995" s="13">
        <v>101.0</v>
      </c>
      <c r="F995" s="13" t="s">
        <v>383</v>
      </c>
      <c r="G995" s="13" t="s">
        <v>750</v>
      </c>
      <c r="H995" s="13" t="s">
        <v>22</v>
      </c>
      <c r="I995" s="13" t="s">
        <v>1219</v>
      </c>
      <c r="J995" s="17"/>
      <c r="K995" s="17"/>
      <c r="L995" s="3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98"/>
      <c r="C996" s="99"/>
      <c r="D996" s="17"/>
      <c r="E996" s="17"/>
      <c r="F996" s="13" t="s">
        <v>527</v>
      </c>
      <c r="G996" s="13" t="s">
        <v>750</v>
      </c>
      <c r="H996" s="13" t="s">
        <v>22</v>
      </c>
      <c r="I996" s="13" t="s">
        <v>1220</v>
      </c>
      <c r="J996" s="13" t="s">
        <v>1221</v>
      </c>
      <c r="K996" s="13">
        <v>9240.0</v>
      </c>
      <c r="L996" s="6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98"/>
      <c r="C997" s="99"/>
      <c r="D997" s="17"/>
      <c r="E997" s="17"/>
      <c r="F997" s="13" t="s">
        <v>1222</v>
      </c>
      <c r="G997" s="13" t="s">
        <v>750</v>
      </c>
      <c r="H997" s="17"/>
      <c r="I997" s="17"/>
      <c r="J997" s="17"/>
      <c r="K997" s="17"/>
      <c r="L997" s="3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98"/>
      <c r="C998" s="99"/>
      <c r="D998" s="17"/>
      <c r="E998" s="17"/>
      <c r="F998" s="13"/>
      <c r="G998" s="13"/>
      <c r="H998" s="17"/>
      <c r="I998" s="17"/>
      <c r="J998" s="17"/>
      <c r="K998" s="17"/>
      <c r="L998" s="3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00"/>
      <c r="C999" s="101"/>
      <c r="D999" s="13">
        <v>1.0</v>
      </c>
      <c r="E999" s="13">
        <v>102.0</v>
      </c>
      <c r="F999" s="13" t="s">
        <v>1223</v>
      </c>
      <c r="G999" s="13" t="s">
        <v>1224</v>
      </c>
      <c r="H999" s="13" t="s">
        <v>22</v>
      </c>
      <c r="I999" s="13" t="s">
        <v>1225</v>
      </c>
      <c r="J999" s="13">
        <v>175.0</v>
      </c>
      <c r="K999" s="104">
        <v>4334.0</v>
      </c>
      <c r="L999" s="57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3"/>
      <c r="C1000" s="98"/>
      <c r="D1000" s="17"/>
      <c r="E1000" s="17"/>
      <c r="F1000" s="17"/>
      <c r="G1000" s="17"/>
      <c r="H1000" s="17"/>
      <c r="I1000" s="17"/>
      <c r="J1000" s="17"/>
      <c r="K1000" s="17"/>
      <c r="L1000" s="3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66"/>
      <c r="C1001" s="101"/>
      <c r="D1001" s="13">
        <v>1.0</v>
      </c>
      <c r="E1001" s="40">
        <v>103.0</v>
      </c>
      <c r="F1001" s="13" t="s">
        <v>1226</v>
      </c>
      <c r="G1001" s="13" t="s">
        <v>1227</v>
      </c>
      <c r="H1001" s="17"/>
      <c r="I1001" s="17"/>
      <c r="J1001" s="17"/>
      <c r="K1001" s="17"/>
      <c r="L1001" s="3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98"/>
      <c r="C1002" s="99"/>
      <c r="D1002" s="18"/>
      <c r="E1002" s="18"/>
      <c r="F1002" s="13"/>
      <c r="G1002" s="13"/>
      <c r="H1002" s="17"/>
      <c r="I1002" s="17"/>
      <c r="J1002" s="17"/>
      <c r="K1002" s="17"/>
      <c r="L1002" s="3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>
      <c r="A1003" s="1"/>
      <c r="B1003" s="100"/>
      <c r="C1003" s="101"/>
      <c r="D1003" s="13">
        <v>1.0</v>
      </c>
      <c r="E1003" s="13">
        <v>104.0</v>
      </c>
      <c r="F1003" s="13" t="s">
        <v>1228</v>
      </c>
      <c r="G1003" s="13" t="s">
        <v>1229</v>
      </c>
      <c r="H1003" s="13" t="s">
        <v>22</v>
      </c>
      <c r="I1003" s="13" t="s">
        <v>1230</v>
      </c>
      <c r="J1003" s="17"/>
      <c r="K1003" s="17"/>
      <c r="L1003" s="3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>
      <c r="A1004" s="1"/>
      <c r="B1004" s="98"/>
      <c r="C1004" s="99"/>
      <c r="D1004" s="18"/>
      <c r="E1004" s="18"/>
      <c r="F1004" s="13" t="s">
        <v>1231</v>
      </c>
      <c r="G1004" s="13" t="s">
        <v>632</v>
      </c>
      <c r="H1004" s="13" t="s">
        <v>22</v>
      </c>
      <c r="I1004" s="13" t="s">
        <v>1232</v>
      </c>
      <c r="J1004" s="17"/>
      <c r="K1004" s="17"/>
      <c r="L1004" s="3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>
      <c r="A1005" s="1"/>
      <c r="B1005" s="98"/>
      <c r="C1005" s="99"/>
      <c r="D1005" s="18"/>
      <c r="E1005" s="18"/>
      <c r="F1005" s="13" t="s">
        <v>1233</v>
      </c>
      <c r="G1005" s="13" t="s">
        <v>1234</v>
      </c>
      <c r="H1005" s="13" t="s">
        <v>22</v>
      </c>
      <c r="I1005" s="13" t="s">
        <v>1235</v>
      </c>
      <c r="J1005" s="17"/>
      <c r="K1005" s="17"/>
      <c r="L1005" s="3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>
      <c r="A1006" s="1"/>
      <c r="B1006" s="98"/>
      <c r="C1006" s="99"/>
      <c r="D1006" s="17"/>
      <c r="E1006" s="17"/>
      <c r="F1006" s="17"/>
      <c r="G1006" s="17"/>
      <c r="H1006" s="17"/>
      <c r="I1006" s="17"/>
      <c r="J1006" s="17"/>
      <c r="K1006" s="17"/>
      <c r="L1006" s="3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>
      <c r="A1007" s="1"/>
      <c r="B1007" s="100"/>
      <c r="C1007" s="105"/>
      <c r="D1007" s="13">
        <v>1.0</v>
      </c>
      <c r="E1007" s="13">
        <v>105.0</v>
      </c>
      <c r="F1007" s="13" t="s">
        <v>360</v>
      </c>
      <c r="G1007" s="13" t="s">
        <v>190</v>
      </c>
      <c r="H1007" s="13" t="s">
        <v>22</v>
      </c>
      <c r="I1007" s="13" t="s">
        <v>1236</v>
      </c>
      <c r="J1007" s="17"/>
      <c r="K1007" s="17"/>
      <c r="L1007" s="3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>
      <c r="A1008" s="1"/>
      <c r="B1008" s="100"/>
      <c r="C1008" s="101"/>
      <c r="D1008" s="13"/>
      <c r="E1008" s="13"/>
      <c r="F1008" s="13" t="s">
        <v>360</v>
      </c>
      <c r="G1008" s="13" t="s">
        <v>190</v>
      </c>
      <c r="H1008" s="13" t="s">
        <v>22</v>
      </c>
      <c r="I1008" s="13" t="s">
        <v>1237</v>
      </c>
      <c r="J1008" s="17"/>
      <c r="K1008" s="17"/>
      <c r="L1008" s="3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>
      <c r="A1009" s="1"/>
      <c r="B1009" s="98"/>
      <c r="C1009" s="99"/>
      <c r="D1009" s="18"/>
      <c r="E1009" s="18"/>
      <c r="F1009" s="13" t="s">
        <v>1238</v>
      </c>
      <c r="G1009" s="13" t="s">
        <v>966</v>
      </c>
      <c r="H1009" s="13" t="s">
        <v>47</v>
      </c>
      <c r="I1009" s="13" t="s">
        <v>1239</v>
      </c>
      <c r="J1009" s="13">
        <v>374.0</v>
      </c>
      <c r="K1009" s="13" t="s">
        <v>56</v>
      </c>
      <c r="L1009" s="6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>
      <c r="A1010" s="1"/>
      <c r="B1010" s="98"/>
      <c r="C1010" s="99"/>
      <c r="D1010" s="18"/>
      <c r="E1010" s="18"/>
      <c r="F1010" s="13" t="s">
        <v>1240</v>
      </c>
      <c r="G1010" s="13" t="s">
        <v>190</v>
      </c>
      <c r="H1010" s="17"/>
      <c r="I1010" s="13" t="s">
        <v>1241</v>
      </c>
      <c r="J1010" s="17"/>
      <c r="K1010" s="17"/>
      <c r="L1010" s="3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>
      <c r="A1011" s="1"/>
      <c r="B1011" s="98"/>
      <c r="C1011" s="99"/>
      <c r="D1011" s="18"/>
      <c r="E1011" s="18"/>
      <c r="F1011" s="13" t="s">
        <v>446</v>
      </c>
      <c r="G1011" s="13" t="s">
        <v>190</v>
      </c>
      <c r="H1011" s="17"/>
      <c r="J1011" s="17"/>
      <c r="K1011" s="17"/>
      <c r="L1011" s="3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>
      <c r="A1012" s="1"/>
      <c r="B1012" s="98"/>
      <c r="C1012" s="99"/>
      <c r="D1012" s="17"/>
      <c r="E1012" s="17"/>
      <c r="F1012" s="13" t="s">
        <v>1242</v>
      </c>
      <c r="G1012" s="17"/>
      <c r="H1012" s="17"/>
      <c r="I1012" s="13" t="s">
        <v>1243</v>
      </c>
      <c r="J1012" s="17"/>
      <c r="K1012" s="17"/>
      <c r="L1012" s="3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>
      <c r="A1013" s="1"/>
      <c r="B1013" s="98"/>
      <c r="C1013" s="99"/>
      <c r="D1013" s="17"/>
      <c r="E1013" s="17"/>
      <c r="F1013" s="17"/>
      <c r="G1013" s="17"/>
      <c r="H1013" s="17"/>
      <c r="I1013" s="17"/>
      <c r="J1013" s="17"/>
      <c r="K1013" s="17"/>
      <c r="L1013" s="3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>
      <c r="A1014" s="1"/>
      <c r="B1014" s="38">
        <v>32.0</v>
      </c>
      <c r="C1014" s="167">
        <v>3.0</v>
      </c>
      <c r="D1014" s="13">
        <v>2.0</v>
      </c>
      <c r="E1014" s="13">
        <v>201.0</v>
      </c>
      <c r="F1014" s="13" t="s">
        <v>447</v>
      </c>
      <c r="G1014" s="13" t="s">
        <v>1244</v>
      </c>
      <c r="H1014" s="48" t="s">
        <v>87</v>
      </c>
      <c r="I1014" s="13" t="s">
        <v>1245</v>
      </c>
      <c r="J1014" s="48" t="s">
        <v>1246</v>
      </c>
      <c r="K1014" s="13" t="s">
        <v>1247</v>
      </c>
      <c r="L1014" s="6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>
      <c r="A1015" s="1"/>
      <c r="B1015" s="98"/>
      <c r="C1015" s="99"/>
      <c r="D1015" s="17"/>
      <c r="E1015" s="17"/>
      <c r="F1015" s="17"/>
      <c r="G1015" s="17"/>
      <c r="H1015" s="17"/>
      <c r="I1015" s="17"/>
      <c r="J1015" s="17"/>
      <c r="K1015" s="17"/>
      <c r="L1015" s="3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>
      <c r="A1016" s="1"/>
      <c r="B1016" s="100"/>
      <c r="C1016" s="101"/>
      <c r="D1016" s="13">
        <v>2.0</v>
      </c>
      <c r="E1016" s="13">
        <v>202.0</v>
      </c>
      <c r="F1016" s="13" t="s">
        <v>1248</v>
      </c>
      <c r="G1016" s="13" t="s">
        <v>1249</v>
      </c>
      <c r="H1016" s="13" t="s">
        <v>22</v>
      </c>
      <c r="I1016" s="13" t="s">
        <v>1250</v>
      </c>
      <c r="J1016" s="13">
        <v>103.0</v>
      </c>
      <c r="K1016" s="34">
        <v>70533.0</v>
      </c>
      <c r="L1016" s="3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>
      <c r="A1017" s="1"/>
      <c r="B1017" s="100"/>
      <c r="C1017" s="101"/>
      <c r="D1017" s="13"/>
      <c r="E1017" s="13"/>
      <c r="F1017" s="13" t="s">
        <v>1251</v>
      </c>
      <c r="G1017" s="13" t="s">
        <v>1249</v>
      </c>
      <c r="H1017" s="13" t="s">
        <v>22</v>
      </c>
      <c r="I1017" s="13" t="s">
        <v>1252</v>
      </c>
      <c r="J1017" s="13"/>
      <c r="K1017" s="75"/>
      <c r="L1017" s="3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>
      <c r="A1018" s="1"/>
      <c r="B1018" s="100"/>
      <c r="C1018" s="101"/>
      <c r="D1018" s="13"/>
      <c r="E1018" s="13"/>
      <c r="F1018" s="13" t="s">
        <v>1248</v>
      </c>
      <c r="G1018" s="13" t="s">
        <v>1249</v>
      </c>
      <c r="H1018" s="13" t="s">
        <v>22</v>
      </c>
      <c r="I1018" s="13" t="s">
        <v>1253</v>
      </c>
      <c r="J1018" s="13"/>
      <c r="K1018" s="75"/>
      <c r="L1018" s="3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>
      <c r="A1019" s="1"/>
      <c r="B1019" s="98"/>
      <c r="C1019" s="99"/>
      <c r="D1019" s="18"/>
      <c r="E1019" s="18"/>
      <c r="F1019" s="13" t="s">
        <v>1254</v>
      </c>
      <c r="G1019" s="13" t="s">
        <v>1249</v>
      </c>
      <c r="H1019" s="13" t="s">
        <v>47</v>
      </c>
      <c r="I1019" s="13" t="s">
        <v>1255</v>
      </c>
      <c r="J1019" s="13">
        <v>104.0</v>
      </c>
      <c r="K1019" s="36"/>
      <c r="L1019" s="3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>
      <c r="A1020" s="1"/>
      <c r="B1020" s="3"/>
      <c r="C1020" s="98"/>
      <c r="D1020" s="18"/>
      <c r="E1020" s="18"/>
      <c r="F1020" s="13" t="s">
        <v>1256</v>
      </c>
      <c r="G1020" s="13" t="s">
        <v>1249</v>
      </c>
      <c r="H1020" s="13" t="s">
        <v>22</v>
      </c>
      <c r="I1020" s="13" t="s">
        <v>1257</v>
      </c>
      <c r="J1020" s="17"/>
      <c r="K1020" s="17"/>
      <c r="L1020" s="3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>
      <c r="A1021" s="1"/>
      <c r="B1021" s="168"/>
      <c r="C1021" s="99"/>
      <c r="D1021" s="18"/>
      <c r="E1021" s="18"/>
      <c r="F1021" s="13" t="s">
        <v>1258</v>
      </c>
      <c r="G1021" s="13" t="s">
        <v>1249</v>
      </c>
      <c r="H1021" s="13" t="s">
        <v>47</v>
      </c>
      <c r="I1021" s="13" t="s">
        <v>1259</v>
      </c>
      <c r="J1021" s="17"/>
      <c r="K1021" s="17"/>
      <c r="L1021" s="3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>
      <c r="A1022" s="1"/>
      <c r="B1022" s="98"/>
      <c r="C1022" s="99"/>
      <c r="D1022" s="17"/>
      <c r="E1022" s="17"/>
      <c r="F1022" s="13" t="s">
        <v>1258</v>
      </c>
      <c r="G1022" s="13" t="s">
        <v>1249</v>
      </c>
      <c r="H1022" s="13" t="s">
        <v>22</v>
      </c>
      <c r="I1022" s="13" t="s">
        <v>1260</v>
      </c>
      <c r="J1022" s="17"/>
      <c r="K1022" s="17"/>
      <c r="L1022" s="3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>
      <c r="A1023" s="1"/>
      <c r="B1023" s="98"/>
      <c r="C1023" s="99"/>
      <c r="D1023" s="17"/>
      <c r="E1023" s="17"/>
      <c r="F1023" s="13" t="s">
        <v>1258</v>
      </c>
      <c r="G1023" s="13" t="s">
        <v>1249</v>
      </c>
      <c r="H1023" s="13" t="s">
        <v>22</v>
      </c>
      <c r="I1023" s="13" t="s">
        <v>1261</v>
      </c>
      <c r="J1023" s="17"/>
      <c r="K1023" s="17"/>
      <c r="L1023" s="3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>
      <c r="A1024" s="1"/>
      <c r="B1024" s="98"/>
      <c r="C1024" s="99"/>
      <c r="D1024" s="17"/>
      <c r="E1024" s="17"/>
      <c r="F1024" s="13"/>
      <c r="G1024" s="13"/>
      <c r="H1024" s="13"/>
      <c r="I1024" s="13"/>
      <c r="J1024" s="17"/>
      <c r="K1024" s="17"/>
      <c r="L1024" s="3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>
      <c r="A1025" s="1"/>
      <c r="B1025" s="98"/>
      <c r="C1025" s="99"/>
      <c r="D1025" s="17"/>
      <c r="E1025" s="17"/>
      <c r="F1025" s="14"/>
      <c r="G1025" s="14"/>
      <c r="H1025" s="14"/>
      <c r="I1025" s="14"/>
      <c r="J1025" s="52"/>
      <c r="K1025" s="52"/>
      <c r="L1025" s="3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>
      <c r="A1026" s="1"/>
      <c r="B1026" s="100"/>
      <c r="C1026" s="105"/>
      <c r="D1026" s="13">
        <v>2.0</v>
      </c>
      <c r="E1026" s="53">
        <v>203.0</v>
      </c>
      <c r="F1026" s="169" t="s">
        <v>1262</v>
      </c>
      <c r="G1026" s="95"/>
      <c r="H1026" s="95"/>
      <c r="I1026" s="95"/>
      <c r="J1026" s="170">
        <v>410.0</v>
      </c>
      <c r="K1026" s="169" t="s">
        <v>121</v>
      </c>
      <c r="L1026" s="3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>
      <c r="A1027" s="1"/>
      <c r="B1027" s="100"/>
      <c r="C1027" s="101"/>
      <c r="D1027" s="13"/>
      <c r="E1027" s="53"/>
      <c r="F1027" s="95"/>
      <c r="G1027" s="95"/>
      <c r="H1027" s="95"/>
      <c r="I1027" s="95"/>
      <c r="J1027" s="95"/>
      <c r="K1027" s="95"/>
      <c r="L1027" s="6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>
      <c r="A1028" s="1"/>
      <c r="B1028" s="98"/>
      <c r="C1028" s="99"/>
      <c r="D1028" s="18"/>
      <c r="E1028" s="55"/>
      <c r="F1028" s="95"/>
      <c r="G1028" s="95"/>
      <c r="H1028" s="95"/>
      <c r="I1028" s="95"/>
      <c r="J1028" s="95"/>
      <c r="K1028" s="95"/>
      <c r="L1028" s="6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>
      <c r="A1029" s="1"/>
      <c r="B1029" s="98"/>
      <c r="C1029" s="99"/>
      <c r="D1029" s="17"/>
      <c r="E1029" s="49"/>
      <c r="F1029" s="95"/>
      <c r="G1029" s="95"/>
      <c r="H1029" s="95"/>
      <c r="I1029" s="95"/>
      <c r="J1029" s="95"/>
      <c r="K1029" s="95"/>
      <c r="L1029" s="6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>
      <c r="A1030" s="1"/>
      <c r="B1030" s="98"/>
      <c r="C1030" s="99"/>
      <c r="D1030" s="17"/>
      <c r="E1030" s="49"/>
      <c r="F1030" s="95"/>
      <c r="G1030" s="95"/>
      <c r="H1030" s="95"/>
      <c r="I1030" s="95"/>
      <c r="J1030" s="95"/>
      <c r="K1030" s="95"/>
      <c r="L1030" s="6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>
      <c r="A1031" s="1"/>
      <c r="B1031" s="98"/>
      <c r="C1031" s="99"/>
      <c r="D1031" s="17"/>
      <c r="E1031" s="49"/>
      <c r="F1031" s="50"/>
      <c r="G1031" s="50"/>
      <c r="H1031" s="50"/>
      <c r="I1031" s="50"/>
      <c r="J1031" s="50"/>
      <c r="K1031" s="50"/>
      <c r="L1031" s="3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>
      <c r="A1032" s="1"/>
      <c r="B1032" s="100"/>
      <c r="C1032" s="101"/>
      <c r="D1032" s="13">
        <v>2.0</v>
      </c>
      <c r="E1032" s="13">
        <v>204.0</v>
      </c>
      <c r="F1032" s="13" t="s">
        <v>580</v>
      </c>
      <c r="G1032" s="13" t="s">
        <v>1263</v>
      </c>
      <c r="H1032" s="17"/>
      <c r="I1032" s="17"/>
      <c r="J1032" s="17"/>
      <c r="K1032" s="17"/>
      <c r="L1032" s="3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>
      <c r="A1033" s="1"/>
      <c r="B1033" s="98"/>
      <c r="C1033" s="99"/>
      <c r="D1033" s="18"/>
      <c r="E1033" s="18"/>
      <c r="F1033" s="13" t="s">
        <v>1264</v>
      </c>
      <c r="G1033" s="13" t="s">
        <v>1265</v>
      </c>
      <c r="H1033" s="13" t="s">
        <v>22</v>
      </c>
      <c r="I1033" s="13" t="s">
        <v>1266</v>
      </c>
      <c r="J1033" s="13" t="s">
        <v>1267</v>
      </c>
      <c r="K1033" s="104">
        <v>66865.0</v>
      </c>
      <c r="L1033" s="57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>
      <c r="A1034" s="1"/>
      <c r="B1034" s="98"/>
      <c r="C1034" s="99"/>
      <c r="D1034" s="18"/>
      <c r="E1034" s="18"/>
      <c r="F1034" s="13" t="s">
        <v>1264</v>
      </c>
      <c r="G1034" s="13" t="s">
        <v>1265</v>
      </c>
      <c r="H1034" s="13" t="s">
        <v>22</v>
      </c>
      <c r="I1034" s="13" t="s">
        <v>1268</v>
      </c>
      <c r="J1034" s="13"/>
      <c r="K1034" s="13"/>
      <c r="L1034" s="6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>
      <c r="A1035" s="1"/>
      <c r="B1035" s="98"/>
      <c r="C1035" s="99"/>
      <c r="D1035" s="18"/>
      <c r="E1035" s="18"/>
      <c r="F1035" s="13" t="s">
        <v>1269</v>
      </c>
      <c r="G1035" s="13" t="s">
        <v>1265</v>
      </c>
      <c r="H1035" s="13" t="s">
        <v>22</v>
      </c>
      <c r="I1035" s="13" t="s">
        <v>1270</v>
      </c>
      <c r="J1035" s="17"/>
      <c r="K1035" s="17"/>
      <c r="L1035" s="3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>
      <c r="A1036" s="1"/>
      <c r="B1036" s="98"/>
      <c r="C1036" s="99"/>
      <c r="D1036" s="17"/>
      <c r="E1036" s="17"/>
      <c r="F1036" s="13" t="s">
        <v>1269</v>
      </c>
      <c r="G1036" s="13" t="s">
        <v>1265</v>
      </c>
      <c r="H1036" s="13" t="s">
        <v>47</v>
      </c>
      <c r="I1036" s="13" t="s">
        <v>1271</v>
      </c>
      <c r="J1036" s="17"/>
      <c r="K1036" s="17"/>
      <c r="L1036" s="3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>
      <c r="A1037" s="1"/>
      <c r="B1037" s="98"/>
      <c r="C1037" s="99"/>
      <c r="D1037" s="17"/>
      <c r="E1037" s="17"/>
      <c r="F1037" s="13"/>
      <c r="G1037" s="13"/>
      <c r="H1037" s="13"/>
      <c r="I1037" s="13"/>
      <c r="J1037" s="17"/>
      <c r="K1037" s="17"/>
      <c r="L1037" s="3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>
      <c r="A1038" s="1"/>
      <c r="B1038" s="100"/>
      <c r="C1038" s="105"/>
      <c r="D1038" s="13">
        <v>2.0</v>
      </c>
      <c r="E1038" s="40">
        <v>205.0</v>
      </c>
      <c r="F1038" s="13" t="s">
        <v>1272</v>
      </c>
      <c r="G1038" s="13" t="s">
        <v>190</v>
      </c>
      <c r="H1038" s="13" t="s">
        <v>47</v>
      </c>
      <c r="I1038" s="13" t="s">
        <v>1273</v>
      </c>
      <c r="J1038" s="17"/>
      <c r="K1038" s="17"/>
      <c r="L1038" s="3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>
      <c r="A1039" s="1"/>
      <c r="B1039" s="98"/>
      <c r="C1039" s="99"/>
      <c r="D1039" s="18"/>
      <c r="E1039" s="18"/>
      <c r="F1039" s="13" t="s">
        <v>1272</v>
      </c>
      <c r="G1039" s="13" t="s">
        <v>190</v>
      </c>
      <c r="H1039" s="13" t="s">
        <v>47</v>
      </c>
      <c r="I1039" s="13" t="s">
        <v>1274</v>
      </c>
      <c r="J1039" s="13">
        <v>363.0</v>
      </c>
      <c r="K1039" s="14" t="s">
        <v>756</v>
      </c>
      <c r="L1039" s="3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>
      <c r="A1040" s="1"/>
      <c r="B1040" s="98"/>
      <c r="C1040" s="99"/>
      <c r="D1040" s="17"/>
      <c r="E1040" s="17"/>
      <c r="F1040" s="13" t="s">
        <v>128</v>
      </c>
      <c r="G1040" s="13" t="s">
        <v>813</v>
      </c>
      <c r="H1040" s="13" t="s">
        <v>47</v>
      </c>
      <c r="I1040" s="13" t="s">
        <v>1275</v>
      </c>
      <c r="J1040" s="13">
        <v>364.0</v>
      </c>
      <c r="K1040" s="67"/>
      <c r="L1040" s="3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>
      <c r="A1041" s="1"/>
      <c r="B1041" s="98"/>
      <c r="C1041" s="99"/>
      <c r="D1041" s="17"/>
      <c r="E1041" s="17"/>
      <c r="F1041" s="13" t="s">
        <v>1276</v>
      </c>
      <c r="G1041" s="13" t="s">
        <v>1277</v>
      </c>
      <c r="H1041" s="17"/>
      <c r="I1041" s="17"/>
      <c r="J1041" s="13">
        <v>365.0</v>
      </c>
      <c r="K1041" s="67"/>
      <c r="L1041" s="3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>
      <c r="A1042" s="1"/>
      <c r="B1042" s="98"/>
      <c r="C1042" s="99"/>
      <c r="D1042" s="17"/>
      <c r="E1042" s="17"/>
      <c r="F1042" s="13" t="s">
        <v>1278</v>
      </c>
      <c r="G1042" s="13" t="s">
        <v>1277</v>
      </c>
      <c r="H1042" s="17"/>
      <c r="I1042" s="17"/>
      <c r="J1042" s="13">
        <v>366.0</v>
      </c>
      <c r="K1042" s="19"/>
      <c r="L1042" s="3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>
      <c r="A1043" s="1"/>
      <c r="B1043" s="98"/>
      <c r="C1043" s="99"/>
      <c r="D1043" s="17"/>
      <c r="E1043" s="17"/>
      <c r="F1043" s="17"/>
      <c r="G1043" s="17"/>
      <c r="H1043" s="17"/>
      <c r="I1043" s="17"/>
      <c r="J1043" s="17"/>
      <c r="K1043" s="17"/>
      <c r="L1043" s="3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>
      <c r="A1044" s="1"/>
      <c r="B1044" s="38">
        <v>32.0</v>
      </c>
      <c r="C1044" s="39">
        <v>3.0</v>
      </c>
      <c r="D1044" s="13">
        <v>3.0</v>
      </c>
      <c r="E1044" s="13">
        <v>301.0</v>
      </c>
      <c r="F1044" s="13" t="s">
        <v>1279</v>
      </c>
      <c r="G1044" s="13" t="s">
        <v>1280</v>
      </c>
      <c r="H1044" s="13" t="s">
        <v>22</v>
      </c>
      <c r="I1044" s="13" t="s">
        <v>1281</v>
      </c>
      <c r="J1044" s="13">
        <v>44.0</v>
      </c>
      <c r="K1044" s="34">
        <v>46683.0</v>
      </c>
      <c r="L1044" s="3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>
      <c r="A1045" s="1"/>
      <c r="B1045" s="98"/>
      <c r="C1045" s="99"/>
      <c r="D1045" s="18"/>
      <c r="E1045" s="18"/>
      <c r="F1045" s="13" t="s">
        <v>1282</v>
      </c>
      <c r="G1045" s="13" t="s">
        <v>1280</v>
      </c>
      <c r="H1045" s="18"/>
      <c r="I1045" s="18"/>
      <c r="J1045" s="13">
        <v>43.0</v>
      </c>
      <c r="K1045" s="36"/>
      <c r="L1045" s="3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>
      <c r="A1046" s="1"/>
      <c r="B1046" s="98"/>
      <c r="C1046" s="99"/>
      <c r="D1046" s="17"/>
      <c r="E1046" s="17"/>
      <c r="F1046" s="17"/>
      <c r="G1046" s="17"/>
      <c r="H1046" s="17"/>
      <c r="I1046" s="17"/>
      <c r="J1046" s="17"/>
      <c r="K1046" s="17"/>
      <c r="L1046" s="3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>
      <c r="A1047" s="1"/>
      <c r="B1047" s="100"/>
      <c r="C1047" s="101"/>
      <c r="D1047" s="13">
        <v>3.0</v>
      </c>
      <c r="E1047" s="13">
        <v>302.0</v>
      </c>
      <c r="F1047" s="13" t="s">
        <v>116</v>
      </c>
      <c r="G1047" s="13" t="s">
        <v>1283</v>
      </c>
      <c r="H1047" s="13" t="s">
        <v>22</v>
      </c>
      <c r="I1047" s="26" t="s">
        <v>1284</v>
      </c>
      <c r="J1047" s="13">
        <v>130.0</v>
      </c>
      <c r="K1047" s="91">
        <v>3.0</v>
      </c>
      <c r="L1047" s="73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>
      <c r="A1048" s="1"/>
      <c r="B1048" s="69"/>
      <c r="C1048" s="171"/>
      <c r="D1048" s="17"/>
      <c r="E1048" s="17"/>
      <c r="F1048" s="13" t="s">
        <v>1285</v>
      </c>
      <c r="G1048" s="13" t="s">
        <v>1286</v>
      </c>
      <c r="H1048" s="13" t="s">
        <v>47</v>
      </c>
      <c r="I1048" s="13" t="s">
        <v>1287</v>
      </c>
      <c r="J1048" s="17"/>
      <c r="K1048" s="17"/>
      <c r="L1048" s="3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>
      <c r="A1049" s="1"/>
      <c r="B1049" s="69"/>
      <c r="C1049" s="103"/>
      <c r="D1049" s="17"/>
      <c r="E1049" s="17"/>
      <c r="F1049" s="13" t="s">
        <v>1285</v>
      </c>
      <c r="G1049" s="13" t="s">
        <v>1286</v>
      </c>
      <c r="H1049" s="13" t="s">
        <v>47</v>
      </c>
      <c r="I1049" s="13" t="s">
        <v>1288</v>
      </c>
      <c r="J1049" s="17"/>
      <c r="K1049" s="17"/>
      <c r="L1049" s="3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>
      <c r="A1050" s="1"/>
      <c r="B1050" s="69"/>
      <c r="C1050" s="99"/>
      <c r="D1050" s="17"/>
      <c r="E1050" s="17"/>
      <c r="F1050" s="13"/>
      <c r="G1050" s="13"/>
      <c r="H1050" s="13"/>
      <c r="I1050" s="13"/>
      <c r="J1050" s="17"/>
      <c r="K1050" s="17"/>
      <c r="L1050" s="3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>
      <c r="A1051" s="1"/>
      <c r="B1051" s="166"/>
      <c r="C1051" s="101"/>
      <c r="D1051" s="13">
        <v>3.0</v>
      </c>
      <c r="E1051" s="13">
        <v>303.0</v>
      </c>
      <c r="F1051" s="13" t="s">
        <v>1289</v>
      </c>
      <c r="G1051" s="13" t="s">
        <v>1290</v>
      </c>
      <c r="H1051" s="13" t="s">
        <v>22</v>
      </c>
      <c r="I1051" s="13" t="s">
        <v>1291</v>
      </c>
      <c r="J1051" s="17"/>
      <c r="K1051" s="17"/>
      <c r="L1051" s="3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>
      <c r="A1052" s="1"/>
      <c r="B1052" s="98"/>
      <c r="C1052" s="99"/>
      <c r="D1052" s="18"/>
      <c r="E1052" s="18"/>
      <c r="F1052" s="13" t="s">
        <v>837</v>
      </c>
      <c r="G1052" s="13" t="s">
        <v>1290</v>
      </c>
      <c r="H1052" s="17"/>
      <c r="I1052" s="17"/>
      <c r="J1052" s="13">
        <v>297.0</v>
      </c>
      <c r="K1052" s="13">
        <v>2581.0</v>
      </c>
      <c r="L1052" s="6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>
      <c r="A1053" s="1"/>
      <c r="B1053" s="98"/>
      <c r="C1053" s="99"/>
      <c r="D1053" s="18"/>
      <c r="E1053" s="18"/>
      <c r="F1053" s="13" t="s">
        <v>347</v>
      </c>
      <c r="G1053" s="13" t="s">
        <v>1292</v>
      </c>
      <c r="H1053" s="18"/>
      <c r="I1053" s="18"/>
      <c r="J1053" s="13">
        <v>64.0</v>
      </c>
      <c r="K1053" s="30">
        <v>68227.0</v>
      </c>
      <c r="L1053" s="3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>
      <c r="A1054" s="1"/>
      <c r="B1054" s="98"/>
      <c r="C1054" s="99"/>
      <c r="D1054" s="18"/>
      <c r="E1054" s="18"/>
      <c r="F1054" s="13"/>
      <c r="G1054" s="13"/>
      <c r="H1054" s="18"/>
      <c r="I1054" s="18"/>
      <c r="J1054" s="13"/>
      <c r="K1054" s="13"/>
      <c r="L1054" s="6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>
      <c r="A1055" s="1"/>
      <c r="B1055" s="100"/>
      <c r="C1055" s="101"/>
      <c r="D1055" s="13">
        <v>3.0</v>
      </c>
      <c r="E1055" s="13">
        <v>304.0</v>
      </c>
      <c r="F1055" s="13" t="s">
        <v>1293</v>
      </c>
      <c r="G1055" s="13" t="s">
        <v>1294</v>
      </c>
      <c r="H1055" s="17"/>
      <c r="I1055" s="17"/>
      <c r="J1055" s="17"/>
      <c r="K1055" s="17"/>
      <c r="L1055" s="3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>
      <c r="A1056" s="1"/>
      <c r="B1056" s="98"/>
      <c r="C1056" s="99"/>
      <c r="D1056" s="18"/>
      <c r="E1056" s="18"/>
      <c r="F1056" s="13" t="s">
        <v>1295</v>
      </c>
      <c r="G1056" s="13" t="s">
        <v>1294</v>
      </c>
      <c r="H1056" s="13" t="s">
        <v>47</v>
      </c>
      <c r="I1056" s="13" t="s">
        <v>1296</v>
      </c>
      <c r="J1056" s="17"/>
      <c r="K1056" s="17"/>
      <c r="L1056" s="3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>
      <c r="A1057" s="1"/>
      <c r="B1057" s="98"/>
      <c r="C1057" s="99"/>
      <c r="D1057" s="18"/>
      <c r="E1057" s="18"/>
      <c r="F1057" s="13" t="s">
        <v>1297</v>
      </c>
      <c r="G1057" s="13" t="s">
        <v>1294</v>
      </c>
      <c r="H1057" s="13" t="s">
        <v>47</v>
      </c>
      <c r="I1057" s="13" t="s">
        <v>1298</v>
      </c>
      <c r="J1057" s="17"/>
      <c r="K1057" s="17"/>
      <c r="L1057" s="3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>
      <c r="A1058" s="1"/>
      <c r="B1058" s="98"/>
      <c r="C1058" s="99"/>
      <c r="D1058" s="17"/>
      <c r="E1058" s="17"/>
      <c r="F1058" s="13" t="s">
        <v>1297</v>
      </c>
      <c r="G1058" s="13" t="s">
        <v>1294</v>
      </c>
      <c r="H1058" s="13" t="s">
        <v>22</v>
      </c>
      <c r="I1058" s="13" t="s">
        <v>1299</v>
      </c>
      <c r="J1058" s="17"/>
      <c r="K1058" s="17"/>
      <c r="L1058" s="3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>
      <c r="A1059" s="1"/>
      <c r="B1059" s="98"/>
      <c r="C1059" s="99"/>
      <c r="D1059" s="17"/>
      <c r="E1059" s="17"/>
      <c r="F1059" s="17"/>
      <c r="G1059" s="17"/>
      <c r="H1059" s="17"/>
      <c r="I1059" s="17"/>
      <c r="J1059" s="17"/>
      <c r="K1059" s="17"/>
      <c r="L1059" s="3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>
      <c r="A1060" s="1"/>
      <c r="B1060" s="100"/>
      <c r="C1060" s="101"/>
      <c r="D1060" s="13">
        <v>3.0</v>
      </c>
      <c r="E1060" s="13">
        <v>305.0</v>
      </c>
      <c r="F1060" s="13" t="s">
        <v>1223</v>
      </c>
      <c r="G1060" s="13" t="s">
        <v>1300</v>
      </c>
      <c r="H1060" s="18"/>
      <c r="I1060" s="18"/>
      <c r="J1060" s="13">
        <v>61.0</v>
      </c>
      <c r="K1060" s="30">
        <v>84769.0</v>
      </c>
      <c r="L1060" s="3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>
      <c r="A1061" s="1"/>
      <c r="B1061" s="98"/>
      <c r="C1061" s="99"/>
      <c r="D1061" s="18"/>
      <c r="E1061" s="18"/>
      <c r="F1061" s="13" t="s">
        <v>1301</v>
      </c>
      <c r="G1061" s="13" t="s">
        <v>384</v>
      </c>
      <c r="H1061" s="13" t="s">
        <v>22</v>
      </c>
      <c r="I1061" s="13" t="s">
        <v>152</v>
      </c>
      <c r="J1061" s="13">
        <v>62.0</v>
      </c>
      <c r="K1061" s="30">
        <v>42288.0</v>
      </c>
      <c r="L1061" s="3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>
      <c r="A1062" s="1"/>
      <c r="B1062" s="98"/>
      <c r="C1062" s="99"/>
      <c r="D1062" s="17"/>
      <c r="E1062" s="17"/>
      <c r="F1062" s="17"/>
      <c r="G1062" s="17"/>
      <c r="H1062" s="17"/>
      <c r="I1062" s="17"/>
      <c r="J1062" s="17"/>
      <c r="K1062" s="17"/>
      <c r="L1062" s="3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>
      <c r="A1063" s="1"/>
      <c r="B1063" s="38">
        <v>32.0</v>
      </c>
      <c r="C1063" s="39">
        <v>3.0</v>
      </c>
      <c r="D1063" s="13">
        <v>4.0</v>
      </c>
      <c r="E1063" s="13">
        <v>401.0</v>
      </c>
      <c r="F1063" s="13" t="s">
        <v>1302</v>
      </c>
      <c r="G1063" s="13" t="s">
        <v>41</v>
      </c>
      <c r="H1063" s="13" t="s">
        <v>47</v>
      </c>
      <c r="I1063" s="13" t="s">
        <v>1303</v>
      </c>
      <c r="J1063" s="17"/>
      <c r="K1063" s="17"/>
      <c r="L1063" s="3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>
      <c r="A1064" s="1"/>
      <c r="B1064" s="38"/>
      <c r="C1064" s="39"/>
      <c r="D1064" s="13"/>
      <c r="E1064" s="13"/>
      <c r="F1064" s="13" t="s">
        <v>1302</v>
      </c>
      <c r="G1064" s="13" t="s">
        <v>41</v>
      </c>
      <c r="H1064" s="13" t="s">
        <v>22</v>
      </c>
      <c r="I1064" s="13"/>
      <c r="J1064" s="17"/>
      <c r="K1064" s="52"/>
      <c r="L1064" s="3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>
      <c r="A1065" s="1"/>
      <c r="B1065" s="98"/>
      <c r="C1065" s="99"/>
      <c r="D1065" s="18"/>
      <c r="E1065" s="18"/>
      <c r="F1065" s="13" t="s">
        <v>1304</v>
      </c>
      <c r="G1065" s="13" t="s">
        <v>41</v>
      </c>
      <c r="H1065" s="18"/>
      <c r="I1065" s="18"/>
      <c r="J1065" s="13" t="s">
        <v>1305</v>
      </c>
      <c r="K1065" s="102" t="s">
        <v>1306</v>
      </c>
      <c r="L1065" s="43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>
      <c r="A1066" s="1"/>
      <c r="B1066" s="98"/>
      <c r="C1066" s="99"/>
      <c r="D1066" s="18"/>
      <c r="E1066" s="18"/>
      <c r="F1066" s="13" t="s">
        <v>1307</v>
      </c>
      <c r="G1066" s="13" t="s">
        <v>41</v>
      </c>
      <c r="H1066" s="13" t="s">
        <v>22</v>
      </c>
      <c r="I1066" s="13" t="s">
        <v>1308</v>
      </c>
      <c r="J1066" s="13">
        <v>129.0</v>
      </c>
      <c r="K1066" s="75"/>
      <c r="L1066" s="43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>
      <c r="A1067" s="1"/>
      <c r="B1067" s="98"/>
      <c r="C1067" s="99"/>
      <c r="D1067" s="18"/>
      <c r="E1067" s="18"/>
      <c r="F1067" s="13" t="s">
        <v>1309</v>
      </c>
      <c r="G1067" s="13" t="s">
        <v>41</v>
      </c>
      <c r="H1067" s="17"/>
      <c r="I1067" s="17"/>
      <c r="J1067" s="13">
        <v>196.0</v>
      </c>
      <c r="K1067" s="36"/>
      <c r="L1067" s="43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>
      <c r="A1068" s="1"/>
      <c r="B1068" s="3"/>
      <c r="C1068" s="98"/>
      <c r="D1068" s="18"/>
      <c r="E1068" s="18"/>
      <c r="F1068" s="13" t="s">
        <v>425</v>
      </c>
      <c r="G1068" s="13" t="s">
        <v>41</v>
      </c>
      <c r="H1068" s="17"/>
      <c r="I1068" s="17"/>
      <c r="J1068" s="13">
        <v>419.0</v>
      </c>
      <c r="K1068" s="13" t="s">
        <v>756</v>
      </c>
      <c r="L1068" s="3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>
      <c r="A1069" s="1"/>
      <c r="B1069" s="168"/>
      <c r="C1069" s="99"/>
      <c r="D1069" s="18"/>
      <c r="E1069" s="18"/>
      <c r="F1069" s="13" t="s">
        <v>590</v>
      </c>
      <c r="G1069" s="13" t="s">
        <v>41</v>
      </c>
      <c r="H1069" s="13" t="s">
        <v>22</v>
      </c>
      <c r="I1069" s="26" t="s">
        <v>1310</v>
      </c>
      <c r="J1069" s="13">
        <v>35.0</v>
      </c>
      <c r="K1069" s="145">
        <v>2.0</v>
      </c>
      <c r="L1069" s="146"/>
      <c r="M1069" s="2" t="s">
        <v>1311</v>
      </c>
      <c r="N1069" s="2" t="s">
        <v>1312</v>
      </c>
      <c r="O1069" s="2" t="s">
        <v>1310</v>
      </c>
      <c r="P1069" s="2" t="s">
        <v>1313</v>
      </c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>
      <c r="A1070" s="1"/>
      <c r="B1070" s="98"/>
      <c r="C1070" s="99"/>
      <c r="D1070" s="18"/>
      <c r="E1070" s="18"/>
      <c r="F1070" s="13" t="s">
        <v>1314</v>
      </c>
      <c r="G1070" s="13" t="s">
        <v>41</v>
      </c>
      <c r="H1070" s="13" t="s">
        <v>22</v>
      </c>
      <c r="I1070" s="13" t="s">
        <v>1315</v>
      </c>
      <c r="J1070" s="13">
        <v>127.0</v>
      </c>
      <c r="K1070" s="42" t="s">
        <v>1306</v>
      </c>
      <c r="L1070" s="43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>
      <c r="A1071" s="1"/>
      <c r="B1071" s="98"/>
      <c r="C1071" s="99"/>
      <c r="D1071" s="18"/>
      <c r="E1071" s="18"/>
      <c r="F1071" s="13" t="s">
        <v>968</v>
      </c>
      <c r="G1071" s="13" t="s">
        <v>41</v>
      </c>
      <c r="H1071" s="17"/>
      <c r="I1071" s="17"/>
      <c r="J1071" s="17"/>
      <c r="K1071" s="17"/>
      <c r="L1071" s="3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>
      <c r="A1072" s="1"/>
      <c r="B1072" s="98"/>
      <c r="C1072" s="99"/>
      <c r="D1072" s="17"/>
      <c r="E1072" s="17"/>
      <c r="F1072" s="13" t="s">
        <v>1316</v>
      </c>
      <c r="G1072" s="13" t="s">
        <v>41</v>
      </c>
      <c r="H1072" s="13" t="s">
        <v>22</v>
      </c>
      <c r="I1072" s="13" t="s">
        <v>1317</v>
      </c>
      <c r="J1072" s="17"/>
      <c r="K1072" s="17"/>
      <c r="L1072" s="3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>
      <c r="A1073" s="1"/>
      <c r="B1073" s="98"/>
      <c r="C1073" s="99"/>
      <c r="D1073" s="17"/>
      <c r="E1073" s="17"/>
      <c r="F1073" s="17"/>
      <c r="G1073" s="17"/>
      <c r="H1073" s="17"/>
      <c r="I1073" s="17"/>
      <c r="J1073" s="17"/>
      <c r="K1073" s="17"/>
      <c r="L1073" s="3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>
      <c r="A1074" s="1"/>
      <c r="B1074" s="100"/>
      <c r="C1074" s="101"/>
      <c r="D1074" s="13">
        <v>4.0</v>
      </c>
      <c r="E1074" s="13">
        <v>402.0</v>
      </c>
      <c r="F1074" s="13" t="s">
        <v>752</v>
      </c>
      <c r="G1074" s="13" t="s">
        <v>1318</v>
      </c>
      <c r="H1074" s="13" t="s">
        <v>22</v>
      </c>
      <c r="I1074" s="13" t="s">
        <v>1319</v>
      </c>
      <c r="J1074" s="13">
        <v>181.0</v>
      </c>
      <c r="K1074" s="26">
        <v>3.0</v>
      </c>
      <c r="L1074" s="27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>
      <c r="A1075" s="1"/>
      <c r="B1075" s="98"/>
      <c r="C1075" s="99"/>
      <c r="D1075" s="17"/>
      <c r="E1075" s="17"/>
      <c r="F1075" s="17"/>
      <c r="G1075" s="17"/>
      <c r="H1075" s="17"/>
      <c r="I1075" s="17"/>
      <c r="J1075" s="17"/>
      <c r="K1075" s="17"/>
      <c r="L1075" s="3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>
      <c r="A1076" s="1"/>
      <c r="B1076" s="100"/>
      <c r="C1076" s="101"/>
      <c r="D1076" s="13">
        <v>4.0</v>
      </c>
      <c r="E1076" s="13">
        <v>403.0</v>
      </c>
      <c r="F1076" s="13" t="s">
        <v>1320</v>
      </c>
      <c r="G1076" s="13" t="s">
        <v>273</v>
      </c>
      <c r="H1076" s="13" t="s">
        <v>22</v>
      </c>
      <c r="I1076" s="26" t="s">
        <v>1321</v>
      </c>
      <c r="J1076" s="13">
        <v>110.0</v>
      </c>
      <c r="K1076" s="72">
        <v>6.0</v>
      </c>
      <c r="L1076" s="73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>
      <c r="A1077" s="1"/>
      <c r="B1077" s="100"/>
      <c r="C1077" s="101"/>
      <c r="D1077" s="13"/>
      <c r="E1077" s="13"/>
      <c r="F1077" s="13" t="s">
        <v>1320</v>
      </c>
      <c r="G1077" s="13" t="s">
        <v>273</v>
      </c>
      <c r="H1077" s="13" t="s">
        <v>22</v>
      </c>
      <c r="I1077" s="26" t="s">
        <v>1322</v>
      </c>
      <c r="J1077" s="13"/>
      <c r="K1077" s="75"/>
      <c r="L1077" s="73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>
      <c r="A1078" s="1"/>
      <c r="B1078" s="98"/>
      <c r="C1078" s="99"/>
      <c r="D1078" s="18"/>
      <c r="E1078" s="18"/>
      <c r="F1078" s="13" t="s">
        <v>492</v>
      </c>
      <c r="G1078" s="13" t="s">
        <v>273</v>
      </c>
      <c r="H1078" s="18"/>
      <c r="I1078" s="74"/>
      <c r="J1078" s="13">
        <v>111.0</v>
      </c>
      <c r="K1078" s="75"/>
      <c r="L1078" s="73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>
      <c r="A1079" s="1"/>
      <c r="B1079" s="98"/>
      <c r="C1079" s="99"/>
      <c r="D1079" s="18"/>
      <c r="E1079" s="18"/>
      <c r="F1079" s="13" t="s">
        <v>1323</v>
      </c>
      <c r="G1079" s="13" t="s">
        <v>273</v>
      </c>
      <c r="H1079" s="17"/>
      <c r="I1079" s="17"/>
      <c r="J1079" s="17"/>
      <c r="K1079" s="17"/>
      <c r="L1079" s="3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>
      <c r="A1080" s="1"/>
      <c r="B1080" s="98"/>
      <c r="C1080" s="99"/>
      <c r="D1080" s="18"/>
      <c r="E1080" s="18"/>
      <c r="F1080" s="13" t="s">
        <v>1324</v>
      </c>
      <c r="G1080" s="13" t="s">
        <v>273</v>
      </c>
      <c r="H1080" s="17"/>
      <c r="I1080" s="17"/>
      <c r="J1080" s="17"/>
      <c r="K1080" s="17"/>
      <c r="L1080" s="3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>
      <c r="A1081" s="1"/>
      <c r="B1081" s="98"/>
      <c r="C1081" s="99"/>
      <c r="D1081" s="17"/>
      <c r="E1081" s="17"/>
      <c r="F1081" s="17"/>
      <c r="G1081" s="17"/>
      <c r="H1081" s="17"/>
      <c r="I1081" s="17"/>
      <c r="J1081" s="17"/>
      <c r="K1081" s="17"/>
      <c r="L1081" s="3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>
      <c r="A1082" s="1"/>
      <c r="B1082" s="100"/>
      <c r="C1082" s="101"/>
      <c r="D1082" s="13">
        <v>4.0</v>
      </c>
      <c r="E1082" s="13">
        <v>404.0</v>
      </c>
      <c r="F1082" s="13" t="s">
        <v>1325</v>
      </c>
      <c r="G1082" s="13" t="s">
        <v>923</v>
      </c>
      <c r="H1082" s="13" t="s">
        <v>47</v>
      </c>
      <c r="I1082" s="13" t="s">
        <v>1326</v>
      </c>
      <c r="J1082" s="13">
        <v>135.0</v>
      </c>
      <c r="K1082" s="26">
        <v>3.0</v>
      </c>
      <c r="L1082" s="27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>
      <c r="A1083" s="1"/>
      <c r="B1083" s="98"/>
      <c r="C1083" s="99"/>
      <c r="D1083" s="18"/>
      <c r="E1083" s="18"/>
      <c r="F1083" s="13" t="s">
        <v>1327</v>
      </c>
      <c r="G1083" s="13" t="s">
        <v>1144</v>
      </c>
      <c r="H1083" s="18"/>
      <c r="I1083" s="18"/>
      <c r="J1083" s="13">
        <v>96.0</v>
      </c>
      <c r="K1083" s="42">
        <v>115.0</v>
      </c>
      <c r="L1083" s="43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>
      <c r="A1084" s="1"/>
      <c r="B1084" s="98"/>
      <c r="C1084" s="99"/>
      <c r="D1084" s="18"/>
      <c r="E1084" s="18"/>
      <c r="F1084" s="13" t="s">
        <v>1328</v>
      </c>
      <c r="G1084" s="13" t="s">
        <v>1329</v>
      </c>
      <c r="H1084" s="18"/>
      <c r="I1084" s="18"/>
      <c r="J1084" s="13">
        <v>134.0</v>
      </c>
      <c r="K1084" s="172">
        <v>3.0</v>
      </c>
      <c r="L1084" s="73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>
      <c r="A1085" s="1"/>
      <c r="B1085" s="98"/>
      <c r="C1085" s="99"/>
      <c r="D1085" s="18"/>
      <c r="E1085" s="18"/>
      <c r="F1085" s="13" t="s">
        <v>1330</v>
      </c>
      <c r="G1085" s="13" t="s">
        <v>476</v>
      </c>
      <c r="H1085" s="18"/>
      <c r="I1085" s="18"/>
      <c r="J1085" s="13">
        <v>136.0</v>
      </c>
      <c r="K1085" s="172" t="s">
        <v>1331</v>
      </c>
      <c r="L1085" s="73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>
      <c r="A1086" s="1"/>
      <c r="B1086" s="98"/>
      <c r="C1086" s="99"/>
      <c r="D1086" s="18"/>
      <c r="E1086" s="18"/>
      <c r="F1086" s="13"/>
      <c r="G1086" s="13"/>
      <c r="H1086" s="18"/>
      <c r="I1086" s="18"/>
      <c r="J1086" s="13"/>
      <c r="K1086" s="173"/>
      <c r="L1086" s="46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>
      <c r="A1087" s="1"/>
      <c r="B1087" s="166"/>
      <c r="C1087" s="166"/>
      <c r="D1087" s="59">
        <v>4.0</v>
      </c>
      <c r="E1087" s="59">
        <v>405.0</v>
      </c>
      <c r="F1087" s="59" t="s">
        <v>97</v>
      </c>
      <c r="G1087" s="59" t="s">
        <v>1094</v>
      </c>
      <c r="H1087" s="59" t="s">
        <v>47</v>
      </c>
      <c r="I1087" s="59" t="s">
        <v>1332</v>
      </c>
      <c r="J1087" s="59">
        <v>78.0</v>
      </c>
      <c r="K1087" s="174">
        <v>48958.0</v>
      </c>
      <c r="L1087" s="3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>
      <c r="A1088" s="1"/>
      <c r="B1088" s="69"/>
      <c r="C1088" s="69"/>
      <c r="D1088" s="92"/>
      <c r="E1088" s="69"/>
      <c r="F1088" s="59" t="s">
        <v>812</v>
      </c>
      <c r="G1088" s="69"/>
      <c r="H1088" s="92"/>
      <c r="I1088" s="92"/>
      <c r="J1088" s="59">
        <v>79.0</v>
      </c>
      <c r="K1088" s="75"/>
      <c r="L1088" s="3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>
      <c r="A1089" s="1"/>
      <c r="B1089" s="69"/>
      <c r="C1089" s="69"/>
      <c r="D1089" s="92"/>
      <c r="E1089" s="69"/>
      <c r="F1089" s="59" t="s">
        <v>452</v>
      </c>
      <c r="G1089" s="59" t="s">
        <v>1333</v>
      </c>
      <c r="H1089" s="59" t="s">
        <v>22</v>
      </c>
      <c r="I1089" s="59" t="s">
        <v>1334</v>
      </c>
      <c r="J1089" s="59">
        <v>80.0</v>
      </c>
      <c r="K1089" s="75"/>
      <c r="L1089" s="3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>
      <c r="A1090" s="1"/>
      <c r="B1090" s="69"/>
      <c r="C1090" s="69"/>
      <c r="D1090" s="92"/>
      <c r="E1090" s="69"/>
      <c r="F1090" s="59" t="s">
        <v>499</v>
      </c>
      <c r="G1090" s="59" t="s">
        <v>1335</v>
      </c>
      <c r="H1090" s="59" t="s">
        <v>47</v>
      </c>
      <c r="I1090" s="59" t="s">
        <v>1336</v>
      </c>
      <c r="J1090" s="59">
        <v>81.0</v>
      </c>
      <c r="K1090" s="36"/>
      <c r="L1090" s="3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>
      <c r="A1091" s="1"/>
      <c r="B1091" s="69"/>
      <c r="C1091" s="69"/>
      <c r="D1091" s="92"/>
      <c r="E1091" s="69"/>
      <c r="F1091" s="59" t="s">
        <v>499</v>
      </c>
      <c r="G1091" s="59" t="s">
        <v>1335</v>
      </c>
      <c r="H1091" s="59" t="s">
        <v>47</v>
      </c>
      <c r="I1091" s="59" t="s">
        <v>1337</v>
      </c>
      <c r="J1091" s="59"/>
      <c r="K1091" s="59"/>
      <c r="L1091" s="6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>
      <c r="A1092" s="1"/>
      <c r="B1092" s="175"/>
      <c r="C1092" s="175"/>
      <c r="D1092" s="175"/>
      <c r="E1092" s="175"/>
      <c r="F1092" s="155" t="s">
        <v>35</v>
      </c>
      <c r="G1092" s="155" t="s">
        <v>1094</v>
      </c>
      <c r="H1092" s="155" t="s">
        <v>47</v>
      </c>
      <c r="I1092" s="155" t="s">
        <v>1338</v>
      </c>
      <c r="J1092" s="175"/>
      <c r="K1092" s="175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</sheetData>
  <mergeCells count="55">
    <mergeCell ref="G3:H3"/>
    <mergeCell ref="K6:K7"/>
    <mergeCell ref="O6:U7"/>
    <mergeCell ref="O20:U21"/>
    <mergeCell ref="K49:K50"/>
    <mergeCell ref="K57:K58"/>
    <mergeCell ref="K61:K62"/>
    <mergeCell ref="K88:K89"/>
    <mergeCell ref="K107:K109"/>
    <mergeCell ref="K115:K116"/>
    <mergeCell ref="K129:K130"/>
    <mergeCell ref="K137:K139"/>
    <mergeCell ref="K158:K160"/>
    <mergeCell ref="K201:K203"/>
    <mergeCell ref="K220:K223"/>
    <mergeCell ref="K336:K337"/>
    <mergeCell ref="K358:K359"/>
    <mergeCell ref="K382:K383"/>
    <mergeCell ref="K387:K389"/>
    <mergeCell ref="K408:K410"/>
    <mergeCell ref="K472:K473"/>
    <mergeCell ref="K502:K504"/>
    <mergeCell ref="K525:K526"/>
    <mergeCell ref="K534:K535"/>
    <mergeCell ref="K536:K537"/>
    <mergeCell ref="K548:K549"/>
    <mergeCell ref="K559:K560"/>
    <mergeCell ref="K607:K609"/>
    <mergeCell ref="K627:K628"/>
    <mergeCell ref="K646:K647"/>
    <mergeCell ref="K650:K651"/>
    <mergeCell ref="K654:K656"/>
    <mergeCell ref="K671:K674"/>
    <mergeCell ref="K728:K729"/>
    <mergeCell ref="K762:K764"/>
    <mergeCell ref="K776:K777"/>
    <mergeCell ref="K808:K809"/>
    <mergeCell ref="K821:K823"/>
    <mergeCell ref="K838:K839"/>
    <mergeCell ref="K847:K848"/>
    <mergeCell ref="K854:K855"/>
    <mergeCell ref="K864:K867"/>
    <mergeCell ref="K1016:K1019"/>
    <mergeCell ref="K1039:K1042"/>
    <mergeCell ref="K1044:K1045"/>
    <mergeCell ref="K1065:K1067"/>
    <mergeCell ref="K1076:K1078"/>
    <mergeCell ref="K1087:K1090"/>
    <mergeCell ref="K873:K875"/>
    <mergeCell ref="K886:K887"/>
    <mergeCell ref="K912:K914"/>
    <mergeCell ref="K923:K924"/>
    <mergeCell ref="K928:K929"/>
    <mergeCell ref="K960:K961"/>
    <mergeCell ref="K964:K9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5"/>
    <col customWidth="1" min="3" max="3" width="15.75"/>
    <col customWidth="1" min="4" max="4" width="16.75"/>
    <col customWidth="1" min="5" max="5" width="17.63"/>
    <col customWidth="1" min="9" max="9" width="15.0"/>
    <col customWidth="1" min="11" max="11" width="17.63"/>
  </cols>
  <sheetData>
    <row r="1">
      <c r="F1" s="176"/>
      <c r="G1" s="176"/>
    </row>
    <row r="2">
      <c r="F2" s="176"/>
      <c r="G2" s="176"/>
    </row>
    <row r="3">
      <c r="B3" s="177" t="s">
        <v>1339</v>
      </c>
      <c r="C3" s="178"/>
      <c r="D3" s="178"/>
      <c r="E3" s="179"/>
      <c r="F3" s="180"/>
      <c r="G3" s="180"/>
    </row>
    <row r="4">
      <c r="B4" s="181" t="s">
        <v>1340</v>
      </c>
      <c r="C4" s="181" t="s">
        <v>1341</v>
      </c>
      <c r="D4" s="181" t="s">
        <v>1342</v>
      </c>
      <c r="E4" s="182" t="s">
        <v>1343</v>
      </c>
      <c r="F4" s="183"/>
      <c r="G4" s="183"/>
    </row>
    <row r="5">
      <c r="B5" s="184" t="s">
        <v>438</v>
      </c>
      <c r="C5" s="185" t="str">
        <f t="array" ref="C5">IFNA(VLOOKUP(B5,{'DATA DE CONTROLES Y LLAVES'!I$6:I1000,'DATA DE CONTROLES Y LLAVES'!F$6:F1000},2,FALSE),"")</f>
        <v>DANIEL</v>
      </c>
      <c r="D5" s="185" t="str">
        <f t="array" ref="D5">IFNA(VLOOKUP(B5,{'DATA DE CONTROLES Y LLAVES'!I$6:I1000,'DATA DE CONTROLES Y LLAVES'!G$6:G1000},2,FALSE),"")</f>
        <v>FERNÁNDEZ</v>
      </c>
      <c r="E5" s="53" t="s">
        <v>22</v>
      </c>
      <c r="F5" s="186" t="s">
        <v>1344</v>
      </c>
      <c r="G5" s="186"/>
    </row>
    <row r="6">
      <c r="B6" s="184" t="s">
        <v>1345</v>
      </c>
      <c r="C6" s="185" t="str">
        <f t="array" ref="C6">IFNA(VLOOKUP(B6,{'DATA DE CONTROLES Y LLAVES'!I$6:I1000,'DATA DE CONTROLES Y LLAVES'!F$6:F1000},2,FALSE),"")</f>
        <v/>
      </c>
      <c r="D6" s="185" t="str">
        <f t="array" ref="D6">IFNA(VLOOKUP(B6,{'DATA DE CONTROLES Y LLAVES'!I$6:I1000,'DATA DE CONTROLES Y LLAVES'!G$6:G1000},2,FALSE),"")</f>
        <v/>
      </c>
      <c r="E6" s="53" t="s">
        <v>47</v>
      </c>
      <c r="F6" s="187"/>
      <c r="G6" s="187"/>
    </row>
    <row r="7">
      <c r="B7" s="184" t="s">
        <v>1346</v>
      </c>
      <c r="C7" s="185" t="str">
        <f t="array" ref="C7">IFNA(VLOOKUP(B7,{'DATA DE CONTROLES Y LLAVES'!I$6:I1000,'DATA DE CONTROLES Y LLAVES'!F$6:F1000},2,FALSE),"")</f>
        <v>JOSEFINA</v>
      </c>
      <c r="D7" s="185" t="str">
        <f t="array" ref="D7">IFNA(VLOOKUP(B7,{'DATA DE CONTROLES Y LLAVES'!I$6:I1000,'DATA DE CONTROLES Y LLAVES'!G$6:G1000},2,FALSE),"")</f>
        <v>FERNÁNDEZ</v>
      </c>
      <c r="E7" s="53" t="s">
        <v>22</v>
      </c>
      <c r="F7" s="187"/>
      <c r="G7" s="187"/>
    </row>
    <row r="8">
      <c r="B8" s="184" t="s">
        <v>1347</v>
      </c>
      <c r="C8" s="185" t="str">
        <f t="array" ref="C8">IFNA(VLOOKUP(B8,{'DATA DE CONTROLES Y LLAVES'!I$6:I1000,'DATA DE CONTROLES Y LLAVES'!F$6:F1000},2,FALSE),"")</f>
        <v>HAIDEÉ</v>
      </c>
      <c r="D8" s="185" t="str">
        <f t="array" ref="D8">IFNA(VLOOKUP(B8,{'DATA DE CONTROLES Y LLAVES'!I$6:I1000,'DATA DE CONTROLES Y LLAVES'!G$6:G1000},2,FALSE),"")</f>
        <v>FALCÓN</v>
      </c>
      <c r="E8" s="53" t="s">
        <v>22</v>
      </c>
      <c r="F8" s="187"/>
      <c r="G8" s="187"/>
    </row>
    <row r="9">
      <c r="B9" s="184" t="s">
        <v>1348</v>
      </c>
      <c r="C9" s="185" t="str">
        <f t="array" ref="C9">IFNA(VLOOKUP(B9,{'DATA DE CONTROLES Y LLAVES'!I$6:I1000,'DATA DE CONTROLES Y LLAVES'!F$6:F1000},2,FALSE),"")</f>
        <v>JOSÉ</v>
      </c>
      <c r="D9" s="185" t="str">
        <f t="array" ref="D9">IFNA(VLOOKUP(B9,{'DATA DE CONTROLES Y LLAVES'!I$6:I1000,'DATA DE CONTROLES Y LLAVES'!G$6:G1000},2,FALSE),"")</f>
        <v>ACOSTA</v>
      </c>
      <c r="E9" s="53" t="s">
        <v>22</v>
      </c>
      <c r="F9" s="187"/>
      <c r="G9" s="187"/>
    </row>
    <row r="10">
      <c r="B10" s="184" t="s">
        <v>1349</v>
      </c>
      <c r="C10" s="185" t="str">
        <f t="array" ref="C10">IFNA(VLOOKUP(B10,{'DATA DE CONTROLES Y LLAVES'!I$6:I1000,'DATA DE CONTROLES Y LLAVES'!F$6:F1000},2,FALSE),"")</f>
        <v>VICTOR </v>
      </c>
      <c r="D10" s="185" t="str">
        <f t="array" ref="D10">IFNA(VLOOKUP(B10,{'DATA DE CONTROLES Y LLAVES'!I$6:I1000,'DATA DE CONTROLES Y LLAVES'!G$6:G1000},2,FALSE),"")</f>
        <v>VIEIRA</v>
      </c>
      <c r="E10" s="53" t="s">
        <v>47</v>
      </c>
      <c r="F10" s="187"/>
      <c r="G10" s="187"/>
    </row>
    <row r="11">
      <c r="B11" s="184" t="s">
        <v>1350</v>
      </c>
      <c r="C11" s="185" t="str">
        <f t="array" ref="C11">IFNA(VLOOKUP(B11,{'DATA DE CONTROLES Y LLAVES'!I$6:I1000,'DATA DE CONTROLES Y LLAVES'!F$6:F1000},2,FALSE),"")</f>
        <v>DENISE</v>
      </c>
      <c r="D11" s="185" t="str">
        <f t="array" ref="D11">IFNA(VLOOKUP(B11,{'DATA DE CONTROLES Y LLAVES'!I$6:I1000,'DATA DE CONTROLES Y LLAVES'!G$6:G1000},2,FALSE),"")</f>
        <v>ISTURIZ</v>
      </c>
      <c r="E11" s="53" t="s">
        <v>47</v>
      </c>
      <c r="F11" s="187"/>
      <c r="G11" s="187"/>
      <c r="M11" s="141" t="s">
        <v>1344</v>
      </c>
    </row>
    <row r="12">
      <c r="B12" s="184" t="s">
        <v>1351</v>
      </c>
      <c r="C12" s="185" t="str">
        <f t="array" ref="C12">IFNA(VLOOKUP(B12,{'DATA DE CONTROLES Y LLAVES'!I$6:I1000,'DATA DE CONTROLES Y LLAVES'!F$6:F1000},2,FALSE),"")</f>
        <v/>
      </c>
      <c r="D12" s="185" t="str">
        <f t="array" ref="D12">IFNA(VLOOKUP(B12,{'DATA DE CONTROLES Y LLAVES'!I$6:I1000,'DATA DE CONTROLES Y LLAVES'!G$6:G1000},2,FALSE),"")</f>
        <v/>
      </c>
      <c r="E12" s="53" t="s">
        <v>22</v>
      </c>
      <c r="F12" s="187"/>
      <c r="G12" s="187"/>
    </row>
    <row r="13">
      <c r="B13" s="184" t="s">
        <v>1352</v>
      </c>
      <c r="C13" s="185" t="str">
        <f t="array" ref="C13">IFNA(VLOOKUP(B13,{'DATA DE CONTROLES Y LLAVES'!I$6:I1000,'DATA DE CONTROLES Y LLAVES'!F$6:F1000},2,FALSE),"")</f>
        <v/>
      </c>
      <c r="D13" s="185" t="str">
        <f t="array" ref="D13">IFNA(VLOOKUP(B13,{'DATA DE CONTROLES Y LLAVES'!I$6:I1000,'DATA DE CONTROLES Y LLAVES'!G$6:G1000},2,FALSE),"")</f>
        <v/>
      </c>
      <c r="E13" s="53" t="s">
        <v>22</v>
      </c>
      <c r="F13" s="187"/>
      <c r="G13" s="187"/>
    </row>
    <row r="14">
      <c r="B14" s="184" t="s">
        <v>1353</v>
      </c>
      <c r="C14" s="185" t="str">
        <f t="array" ref="C14">IFNA(VLOOKUP(B14,{'DATA DE CONTROLES Y LLAVES'!I$6:I1000,'DATA DE CONTROLES Y LLAVES'!F$6:F1000},2,FALSE),"")</f>
        <v>YELITZA</v>
      </c>
      <c r="D14" s="185" t="str">
        <f t="array" ref="D14">IFNA(VLOOKUP(B14,{'DATA DE CONTROLES Y LLAVES'!I$6:I1000,'DATA DE CONTROLES Y LLAVES'!G$6:G1000},2,FALSE),"")</f>
        <v>BIANCO</v>
      </c>
      <c r="E14" s="53" t="s">
        <v>22</v>
      </c>
      <c r="F14" s="187"/>
      <c r="G14" s="187"/>
      <c r="N14" s="141" t="s">
        <v>1344</v>
      </c>
    </row>
    <row r="15">
      <c r="B15" s="188" t="s">
        <v>1354</v>
      </c>
      <c r="C15" s="185" t="str">
        <f t="array" ref="C15">IFNA(VLOOKUP(B15,{'DATA DE CONTROLES Y LLAVES'!I$6:I1000,'DATA DE CONTROLES Y LLAVES'!F$6:F1000},2,FALSE),"")</f>
        <v>LUISA</v>
      </c>
      <c r="D15" s="185" t="str">
        <f t="array" ref="D15">IFNA(VLOOKUP(B15,{'DATA DE CONTROLES Y LLAVES'!I$6:I1000,'DATA DE CONTROLES Y LLAVES'!G$6:G1000},2,FALSE),"")</f>
        <v>GARCÍA</v>
      </c>
      <c r="E15" s="53" t="s">
        <v>22</v>
      </c>
      <c r="F15" s="187"/>
      <c r="G15" s="187"/>
    </row>
    <row r="16">
      <c r="B16" s="188" t="s">
        <v>1355</v>
      </c>
      <c r="C16" s="185" t="str">
        <f t="array" ref="C16">IFNA(VLOOKUP(B16,{'DATA DE CONTROLES Y LLAVES'!I$6:I1000,'DATA DE CONTROLES Y LLAVES'!F$6:F1000},2,FALSE),"")</f>
        <v>TAIZ</v>
      </c>
      <c r="D16" s="185" t="str">
        <f t="array" ref="D16">IFNA(VLOOKUP(B16,{'DATA DE CONTROLES Y LLAVES'!I$6:I1000,'DATA DE CONTROLES Y LLAVES'!G$6:G1000},2,FALSE),"")</f>
        <v>CONTRERAS</v>
      </c>
      <c r="E16" s="53" t="s">
        <v>22</v>
      </c>
      <c r="F16" s="187"/>
      <c r="G16" s="187"/>
    </row>
    <row r="17">
      <c r="B17" s="188" t="s">
        <v>1356</v>
      </c>
      <c r="C17" s="185" t="str">
        <f t="array" ref="C17">IFNA(VLOOKUP(B17,{'DATA DE CONTROLES Y LLAVES'!I$6:I1000,'DATA DE CONTROLES Y LLAVES'!F$6:F1000},2,FALSE),"")</f>
        <v>DORIS</v>
      </c>
      <c r="D17" s="185" t="str">
        <f t="array" ref="D17">IFNA(VLOOKUP(B17,{'DATA DE CONTROLES Y LLAVES'!I$6:I1000,'DATA DE CONTROLES Y LLAVES'!G$6:G1000},2,FALSE),"")</f>
        <v>SANCHEZ</v>
      </c>
      <c r="E17" s="53" t="s">
        <v>47</v>
      </c>
      <c r="F17" s="187"/>
      <c r="G17" s="187"/>
    </row>
    <row r="18">
      <c r="B18" s="188" t="s">
        <v>1357</v>
      </c>
      <c r="C18" s="185" t="str">
        <f t="array" ref="C18">IFNA(VLOOKUP(B18,{'DATA DE CONTROLES Y LLAVES'!I$6:I1000,'DATA DE CONTROLES Y LLAVES'!F$6:F1000},2,FALSE),"")</f>
        <v/>
      </c>
      <c r="D18" s="185" t="str">
        <f t="array" ref="D18">IFNA(VLOOKUP(B18,{'DATA DE CONTROLES Y LLAVES'!I$6:I1000,'DATA DE CONTROLES Y LLAVES'!G$6:G1000},2,FALSE),"")</f>
        <v/>
      </c>
      <c r="E18" s="53" t="s">
        <v>47</v>
      </c>
      <c r="F18" s="187"/>
      <c r="G18" s="187"/>
    </row>
    <row r="19">
      <c r="B19" s="188" t="s">
        <v>1358</v>
      </c>
      <c r="C19" s="185" t="str">
        <f t="array" ref="C19">IFNA(VLOOKUP(B19,{'DATA DE CONTROLES Y LLAVES'!I$6:I1000,'DATA DE CONTROLES Y LLAVES'!F$6:F1000},2,FALSE),"")</f>
        <v>YADITZA</v>
      </c>
      <c r="D19" s="185" t="str">
        <f t="array" ref="D19">IFNA(VLOOKUP(B19,{'DATA DE CONTROLES Y LLAVES'!I$6:I1000,'DATA DE CONTROLES Y LLAVES'!G$6:G1000},2,FALSE),"")</f>
        <v>IRRAUSQUIN</v>
      </c>
      <c r="E19" s="53" t="s">
        <v>22</v>
      </c>
      <c r="F19" s="187"/>
      <c r="G19" s="187"/>
    </row>
    <row r="20">
      <c r="B20" s="188" t="s">
        <v>1359</v>
      </c>
      <c r="C20" s="185" t="str">
        <f t="array" ref="C20">IFNA(VLOOKUP(B20,{'DATA DE CONTROLES Y LLAVES'!I$6:I1000,'DATA DE CONTROLES Y LLAVES'!F$6:F1000},2,FALSE),"")</f>
        <v>GLEISYS</v>
      </c>
      <c r="D20" s="185" t="str">
        <f t="array" ref="D20">IFNA(VLOOKUP(B20,{'DATA DE CONTROLES Y LLAVES'!I$6:I1000,'DATA DE CONTROLES Y LLAVES'!G$6:G1000},2,FALSE),"")</f>
        <v>CHAVEZ</v>
      </c>
      <c r="E20" s="53" t="s">
        <v>22</v>
      </c>
      <c r="F20" s="187"/>
      <c r="G20" s="187"/>
    </row>
    <row r="21">
      <c r="B21" s="188" t="s">
        <v>1360</v>
      </c>
      <c r="C21" s="185" t="str">
        <f t="array" ref="C21">IFNA(VLOOKUP(B21,{'DATA DE CONTROLES Y LLAVES'!I$6:I1000,'DATA DE CONTROLES Y LLAVES'!F$6:F1000},2,FALSE),"")</f>
        <v>VICTOR</v>
      </c>
      <c r="D21" s="185" t="str">
        <f t="array" ref="D21">IFNA(VLOOKUP(B21,{'DATA DE CONTROLES Y LLAVES'!I$6:I1000,'DATA DE CONTROLES Y LLAVES'!G$6:G1000},2,FALSE),"")</f>
        <v>VERAMENDI </v>
      </c>
      <c r="E21" s="53" t="s">
        <v>22</v>
      </c>
      <c r="F21" s="187"/>
      <c r="G21" s="187"/>
    </row>
    <row r="22">
      <c r="B22" s="188" t="s">
        <v>1361</v>
      </c>
      <c r="C22" s="185" t="str">
        <f t="array" ref="C22">IFNA(VLOOKUP(B22,{'DATA DE CONTROLES Y LLAVES'!I$6:I1000,'DATA DE CONTROLES Y LLAVES'!F$6:F1000},2,FALSE),"")</f>
        <v>VALENTINA</v>
      </c>
      <c r="D22" s="185" t="str">
        <f t="array" ref="D22">IFNA(VLOOKUP(B22,{'DATA DE CONTROLES Y LLAVES'!I$6:I1000,'DATA DE CONTROLES Y LLAVES'!G$6:G1000},2,FALSE),"")</f>
        <v>ESPINOZA</v>
      </c>
      <c r="E22" s="53" t="s">
        <v>22</v>
      </c>
      <c r="F22" s="187"/>
      <c r="G22" s="187"/>
    </row>
    <row r="23">
      <c r="B23" s="188" t="s">
        <v>1362</v>
      </c>
      <c r="C23" s="185" t="str">
        <f t="array" ref="C23">IFNA(VLOOKUP(B23,{'DATA DE CONTROLES Y LLAVES'!I$6:I1000,'DATA DE CONTROLES Y LLAVES'!F$6:F1000},2,FALSE),"")</f>
        <v>KEIZLER</v>
      </c>
      <c r="D23" s="185" t="str">
        <f t="array" ref="D23">IFNA(VLOOKUP(B23,{'DATA DE CONTROLES Y LLAVES'!I$6:I1000,'DATA DE CONTROLES Y LLAVES'!G$6:G1000},2,FALSE),"")</f>
        <v>URBINA</v>
      </c>
      <c r="E23" s="53" t="s">
        <v>22</v>
      </c>
      <c r="F23" s="186"/>
      <c r="G23" s="187"/>
    </row>
    <row r="24">
      <c r="B24" s="188" t="s">
        <v>1363</v>
      </c>
      <c r="C24" s="185" t="str">
        <f t="array" ref="C24">IFNA(VLOOKUP(B24,{'DATA DE CONTROLES Y LLAVES'!I$6:I1000,'DATA DE CONTROLES Y LLAVES'!F$6:F1000},2,FALSE),"")</f>
        <v>VICTOR </v>
      </c>
      <c r="D24" s="185" t="str">
        <f t="array" ref="D24">IFNA(VLOOKUP(B24,{'DATA DE CONTROLES Y LLAVES'!I$6:I1000,'DATA DE CONTROLES Y LLAVES'!G$6:G1000},2,FALSE),"")</f>
        <v>PEREZ</v>
      </c>
      <c r="E24" s="53" t="s">
        <v>22</v>
      </c>
      <c r="F24" s="187"/>
      <c r="G24" s="187"/>
    </row>
    <row r="25">
      <c r="B25" s="188" t="s">
        <v>1364</v>
      </c>
      <c r="C25" s="185" t="str">
        <f t="array" ref="C25">IFNA(VLOOKUP(B25,{'DATA DE CONTROLES Y LLAVES'!I$6:I1000,'DATA DE CONTROLES Y LLAVES'!F$6:F1000},2,FALSE),"")</f>
        <v>JEIMI </v>
      </c>
      <c r="D25" s="185" t="str">
        <f t="array" ref="D25">IFNA(VLOOKUP(B25,{'DATA DE CONTROLES Y LLAVES'!I$6:I1000,'DATA DE CONTROLES Y LLAVES'!G$6:G1000},2,FALSE),"")</f>
        <v>DIAZ</v>
      </c>
      <c r="E25" s="53" t="s">
        <v>22</v>
      </c>
      <c r="F25" s="187"/>
      <c r="G25" s="187"/>
    </row>
    <row r="26">
      <c r="B26" s="188" t="s">
        <v>1365</v>
      </c>
      <c r="C26" s="185" t="str">
        <f t="array" ref="C26">IFNA(VLOOKUP(B26,{'DATA DE CONTROLES Y LLAVES'!I$6:I1000,'DATA DE CONTROLES Y LLAVES'!F$6:F1000},2,FALSE),"")</f>
        <v>JOSÉ</v>
      </c>
      <c r="D26" s="185" t="str">
        <f t="array" ref="D26">IFNA(VLOOKUP(B26,{'DATA DE CONTROLES Y LLAVES'!I$6:I1000,'DATA DE CONTROLES Y LLAVES'!G$6:G1000},2,FALSE),"")</f>
        <v>VÁSQUEZ</v>
      </c>
      <c r="E26" s="53" t="s">
        <v>22</v>
      </c>
      <c r="F26" s="187"/>
      <c r="G26" s="187"/>
    </row>
    <row r="27">
      <c r="B27" s="188" t="s">
        <v>1366</v>
      </c>
      <c r="C27" s="185" t="str">
        <f t="array" ref="C27">IFNA(VLOOKUP(B27,{'DATA DE CONTROLES Y LLAVES'!I$6:I1000,'DATA DE CONTROLES Y LLAVES'!F$6:F1000},2,FALSE),"")</f>
        <v>MARUJA</v>
      </c>
      <c r="D27" s="185" t="str">
        <f t="array" ref="D27">IFNA(VLOOKUP(B27,{'DATA DE CONTROLES Y LLAVES'!I$6:I1000,'DATA DE CONTROLES Y LLAVES'!G$6:G1000},2,FALSE),"")</f>
        <v>MARRERO</v>
      </c>
      <c r="E27" s="53" t="s">
        <v>47</v>
      </c>
      <c r="F27" s="187"/>
      <c r="G27" s="187"/>
    </row>
    <row r="28">
      <c r="B28" s="188" t="s">
        <v>1367</v>
      </c>
      <c r="C28" s="185" t="str">
        <f t="array" ref="C28">IFNA(VLOOKUP(B28,{'DATA DE CONTROLES Y LLAVES'!I$6:I1000,'DATA DE CONTROLES Y LLAVES'!F$6:F1000},2,FALSE),"")</f>
        <v>RAMSES</v>
      </c>
      <c r="D28" s="185" t="str">
        <f t="array" ref="D28">IFNA(VLOOKUP(B28,{'DATA DE CONTROLES Y LLAVES'!I$6:I1000,'DATA DE CONTROLES Y LLAVES'!G$6:G1000},2,FALSE),"")</f>
        <v>ROJAS</v>
      </c>
      <c r="E28" s="53" t="s">
        <v>47</v>
      </c>
      <c r="F28" s="187"/>
      <c r="G28" s="187"/>
    </row>
    <row r="29">
      <c r="B29" s="188" t="s">
        <v>1368</v>
      </c>
      <c r="C29" s="185" t="str">
        <f t="array" ref="C29">IFNA(VLOOKUP(B29,{'DATA DE CONTROLES Y LLAVES'!I$6:I1000,'DATA DE CONTROLES Y LLAVES'!F$6:F1000},2,FALSE),"")</f>
        <v>JOEL</v>
      </c>
      <c r="D29" s="185" t="str">
        <f t="array" ref="D29">IFNA(VLOOKUP(B29,{'DATA DE CONTROLES Y LLAVES'!I$6:I1000,'DATA DE CONTROLES Y LLAVES'!G$6:G1000},2,FALSE),"")</f>
        <v>MARTINEZ</v>
      </c>
      <c r="E29" s="53" t="s">
        <v>47</v>
      </c>
      <c r="F29" s="187"/>
      <c r="G29" s="187"/>
    </row>
    <row r="30">
      <c r="B30" s="188" t="s">
        <v>1369</v>
      </c>
      <c r="C30" s="185" t="str">
        <f t="array" ref="C30">IFNA(VLOOKUP(B30,{'DATA DE CONTROLES Y LLAVES'!I$6:I1000,'DATA DE CONTROLES Y LLAVES'!F$6:F1000},2,FALSE),"")</f>
        <v>FERNANDO</v>
      </c>
      <c r="D30" s="185" t="str">
        <f t="array" ref="D30">IFNA(VLOOKUP(B30,{'DATA DE CONTROLES Y LLAVES'!I$6:I1000,'DATA DE CONTROLES Y LLAVES'!G$6:G1000},2,FALSE),"")</f>
        <v>DOS REY</v>
      </c>
      <c r="E30" s="53" t="s">
        <v>22</v>
      </c>
      <c r="F30" s="187"/>
      <c r="G30" s="187"/>
    </row>
    <row r="31">
      <c r="B31" s="188" t="s">
        <v>1370</v>
      </c>
      <c r="C31" s="185" t="str">
        <f t="array" ref="C31">IFNA(VLOOKUP(B31,{'DATA DE CONTROLES Y LLAVES'!I$6:I1000,'DATA DE CONTROLES Y LLAVES'!F$6:F1000},2,FALSE),"")</f>
        <v>MAMERTO</v>
      </c>
      <c r="D31" s="185" t="str">
        <f t="array" ref="D31">IFNA(VLOOKUP(B31,{'DATA DE CONTROLES Y LLAVES'!I$6:I1000,'DATA DE CONTROLES Y LLAVES'!G$6:G1000},2,FALSE),"")</f>
        <v>IRRAUSQUIN</v>
      </c>
      <c r="E31" s="53" t="s">
        <v>87</v>
      </c>
      <c r="F31" s="187"/>
      <c r="G31" s="187"/>
    </row>
    <row r="32">
      <c r="B32" s="188" t="s">
        <v>1371</v>
      </c>
      <c r="C32" s="185" t="str">
        <f t="array" ref="C32">IFNA(VLOOKUP(B32,{'DATA DE CONTROLES Y LLAVES'!I$6:I1000,'DATA DE CONTROLES Y LLAVES'!F$6:F1000},2,FALSE),"")</f>
        <v>EMMA</v>
      </c>
      <c r="D32" s="185" t="str">
        <f t="array" ref="D32">IFNA(VLOOKUP(B32,{'DATA DE CONTROLES Y LLAVES'!I$6:I1000,'DATA DE CONTROLES Y LLAVES'!G$6:G1000},2,FALSE),"")</f>
        <v>HERNÁNDEZ</v>
      </c>
      <c r="E32" s="53" t="s">
        <v>22</v>
      </c>
      <c r="F32" s="187"/>
      <c r="G32" s="187"/>
    </row>
    <row r="33">
      <c r="B33" s="188" t="s">
        <v>1372</v>
      </c>
      <c r="C33" s="185" t="str">
        <f t="array" ref="C33">IFNA(VLOOKUP(B33,{'DATA DE CONTROLES Y LLAVES'!I$6:I1000,'DATA DE CONTROLES Y LLAVES'!F$6:F1000},2,FALSE),"")</f>
        <v>HAILER </v>
      </c>
      <c r="D33" s="185" t="str">
        <f t="array" ref="D33">IFNA(VLOOKUP(B33,{'DATA DE CONTROLES Y LLAVES'!I$6:I1000,'DATA DE CONTROLES Y LLAVES'!G$6:G1000},2,FALSE),"")</f>
        <v>QUERALES</v>
      </c>
      <c r="E33" s="53" t="s">
        <v>47</v>
      </c>
      <c r="F33" s="187"/>
      <c r="G33" s="187"/>
    </row>
    <row r="34">
      <c r="B34" s="188" t="s">
        <v>1373</v>
      </c>
      <c r="C34" s="185" t="str">
        <f t="array" ref="C34">IFNA(VLOOKUP(B34,{'DATA DE CONTROLES Y LLAVES'!I$6:I1000,'DATA DE CONTROLES Y LLAVES'!F$6:F1000},2,FALSE),"")</f>
        <v>GLORIA</v>
      </c>
      <c r="D34" s="185" t="str">
        <f t="array" ref="D34">IFNA(VLOOKUP(B34,{'DATA DE CONTROLES Y LLAVES'!I$6:I1000,'DATA DE CONTROLES Y LLAVES'!G$6:G1000},2,FALSE),"")</f>
        <v>DELGADO</v>
      </c>
      <c r="E34" s="53" t="s">
        <v>22</v>
      </c>
      <c r="F34" s="187"/>
      <c r="G34" s="187"/>
    </row>
    <row r="35">
      <c r="B35" s="188" t="s">
        <v>1374</v>
      </c>
      <c r="C35" s="185" t="str">
        <f t="array" ref="C35">IFNA(VLOOKUP(B35,{'DATA DE CONTROLES Y LLAVES'!I$6:I1000,'DATA DE CONTROLES Y LLAVES'!F$6:F1000},2,FALSE),"")</f>
        <v>DANIEL</v>
      </c>
      <c r="D35" s="185" t="str">
        <f t="array" ref="D35">IFNA(VLOOKUP(B35,{'DATA DE CONTROLES Y LLAVES'!I$6:I1000,'DATA DE CONTROLES Y LLAVES'!G$6:G1000},2,FALSE),"")</f>
        <v>DA COSTA</v>
      </c>
      <c r="E35" s="53" t="s">
        <v>22</v>
      </c>
      <c r="F35" s="187"/>
      <c r="G35" s="187"/>
    </row>
    <row r="36">
      <c r="B36" s="188" t="s">
        <v>1375</v>
      </c>
      <c r="C36" s="185" t="str">
        <f t="array" ref="C36">IFNA(VLOOKUP(B36,{'DATA DE CONTROLES Y LLAVES'!I$6:I1000,'DATA DE CONTROLES Y LLAVES'!F$6:F1000},2,FALSE),"")</f>
        <v>HUGO</v>
      </c>
      <c r="D36" s="185" t="str">
        <f t="array" ref="D36">IFNA(VLOOKUP(B36,{'DATA DE CONTROLES Y LLAVES'!I$6:I1000,'DATA DE CONTROLES Y LLAVES'!G$6:G1000},2,FALSE),"")</f>
        <v>URUBURU</v>
      </c>
      <c r="E36" s="53" t="s">
        <v>22</v>
      </c>
      <c r="F36" s="187"/>
      <c r="G36" s="187"/>
    </row>
    <row r="37">
      <c r="B37" s="188" t="s">
        <v>1376</v>
      </c>
      <c r="C37" s="185" t="str">
        <f t="array" ref="C37">IFNA(VLOOKUP(B37,{'DATA DE CONTROLES Y LLAVES'!I$6:I1000,'DATA DE CONTROLES Y LLAVES'!F$6:F1000},2,FALSE),"")</f>
        <v>JENIFER</v>
      </c>
      <c r="D37" s="185" t="str">
        <f t="array" ref="D37">IFNA(VLOOKUP(B37,{'DATA DE CONTROLES Y LLAVES'!I$6:I1000,'DATA DE CONTROLES Y LLAVES'!G$6:G1000},2,FALSE),"")</f>
        <v>URUBURU</v>
      </c>
      <c r="E37" s="53" t="s">
        <v>22</v>
      </c>
      <c r="F37" s="187"/>
      <c r="G37" s="187"/>
    </row>
    <row r="38">
      <c r="B38" s="188" t="s">
        <v>1377</v>
      </c>
      <c r="C38" s="185" t="str">
        <f t="array" ref="C38">IFNA(VLOOKUP(B38,{'DATA DE CONTROLES Y LLAVES'!I$6:I1000,'DATA DE CONTROLES Y LLAVES'!F$6:F1000},2,FALSE),"")</f>
        <v/>
      </c>
      <c r="D38" s="185" t="str">
        <f t="array" ref="D38">IFNA(VLOOKUP(B38,{'DATA DE CONTROLES Y LLAVES'!I$6:I1000,'DATA DE CONTROLES Y LLAVES'!G$6:G1000},2,FALSE),"")</f>
        <v/>
      </c>
      <c r="E38" s="53" t="s">
        <v>22</v>
      </c>
      <c r="F38" s="187"/>
      <c r="G38" s="187"/>
    </row>
    <row r="39">
      <c r="B39" s="188" t="s">
        <v>1378</v>
      </c>
      <c r="C39" s="185" t="str">
        <f t="array" ref="C39">IFNA(VLOOKUP(B39,{'DATA DE CONTROLES Y LLAVES'!I$6:I1000,'DATA DE CONTROLES Y LLAVES'!F$6:F1000},2,FALSE),"")</f>
        <v>ARTURO</v>
      </c>
      <c r="D39" s="185" t="str">
        <f t="array" ref="D39">IFNA(VLOOKUP(B39,{'DATA DE CONTROLES Y LLAVES'!I$6:I1000,'DATA DE CONTROLES Y LLAVES'!G$6:G1000},2,FALSE),"")</f>
        <v>BORRERO</v>
      </c>
      <c r="E39" s="53" t="s">
        <v>22</v>
      </c>
      <c r="F39" s="187"/>
      <c r="G39" s="187"/>
    </row>
    <row r="40">
      <c r="B40" s="188" t="s">
        <v>1379</v>
      </c>
      <c r="C40" s="185" t="str">
        <f t="array" ref="C40">IFNA(VLOOKUP(B40,{'DATA DE CONTROLES Y LLAVES'!I$6:I1000,'DATA DE CONTROLES Y LLAVES'!F$6:F1000},2,FALSE),"")</f>
        <v>DULCE	</v>
      </c>
      <c r="D40" s="185" t="str">
        <f t="array" ref="D40">IFNA(VLOOKUP(B40,{'DATA DE CONTROLES Y LLAVES'!I$6:I1000,'DATA DE CONTROLES Y LLAVES'!G$6:G1000},2,FALSE),"")</f>
        <v>MUÑOZ</v>
      </c>
      <c r="E40" s="53" t="s">
        <v>47</v>
      </c>
      <c r="F40" s="187"/>
      <c r="G40" s="187"/>
    </row>
    <row r="41">
      <c r="B41" s="188" t="s">
        <v>1380</v>
      </c>
      <c r="C41" s="185" t="str">
        <f t="array" ref="C41">IFNA(VLOOKUP(B41,{'DATA DE CONTROLES Y LLAVES'!I$6:I1000,'DATA DE CONTROLES Y LLAVES'!F$6:F1000},2,FALSE),"")</f>
        <v>LORENA </v>
      </c>
      <c r="D41" s="185" t="str">
        <f t="array" ref="D41">IFNA(VLOOKUP(B41,{'DATA DE CONTROLES Y LLAVES'!I$6:I1000,'DATA DE CONTROLES Y LLAVES'!G$6:G1000},2,FALSE),"")</f>
        <v>GARCIA</v>
      </c>
      <c r="E41" s="53" t="s">
        <v>47</v>
      </c>
      <c r="F41" s="187"/>
      <c r="G41" s="187"/>
    </row>
    <row r="42">
      <c r="B42" s="188" t="s">
        <v>1381</v>
      </c>
      <c r="C42" s="185" t="str">
        <f t="array" ref="C42">IFNA(VLOOKUP(B42,{'DATA DE CONTROLES Y LLAVES'!I$6:I1000,'DATA DE CONTROLES Y LLAVES'!F$6:F1000},2,FALSE),"")</f>
        <v>EDGARDO</v>
      </c>
      <c r="D42" s="185" t="str">
        <f t="array" ref="D42">IFNA(VLOOKUP(B42,{'DATA DE CONTROLES Y LLAVES'!I$6:I1000,'DATA DE CONTROLES Y LLAVES'!G$6:G1000},2,FALSE),"")</f>
        <v>IBARRA</v>
      </c>
      <c r="E42" s="53" t="s">
        <v>22</v>
      </c>
      <c r="F42" s="187"/>
      <c r="G42" s="187"/>
    </row>
    <row r="43">
      <c r="B43" s="188" t="s">
        <v>1382</v>
      </c>
      <c r="C43" s="185" t="str">
        <f t="array" ref="C43">IFNA(VLOOKUP(B43,{'DATA DE CONTROLES Y LLAVES'!I$6:I1000,'DATA DE CONTROLES Y LLAVES'!F$6:F1000},2,FALSE),"")</f>
        <v/>
      </c>
      <c r="D43" s="185" t="str">
        <f t="array" ref="D43">IFNA(VLOOKUP(B43,{'DATA DE CONTROLES Y LLAVES'!I$6:I1000,'DATA DE CONTROLES Y LLAVES'!G$6:G1000},2,FALSE),"")</f>
        <v/>
      </c>
      <c r="E43" s="53" t="s">
        <v>22</v>
      </c>
      <c r="F43" s="187"/>
      <c r="G43" s="187"/>
    </row>
    <row r="44">
      <c r="B44" s="188" t="s">
        <v>1383</v>
      </c>
      <c r="C44" s="185" t="str">
        <f t="array" ref="C44">IFNA(VLOOKUP(B44,{'DATA DE CONTROLES Y LLAVES'!I$6:I1000,'DATA DE CONTROLES Y LLAVES'!F$6:F1000},2,FALSE),"")</f>
        <v>kevin</v>
      </c>
      <c r="D44" s="185" t="str">
        <f t="array" ref="D44">IFNA(VLOOKUP(B44,{'DATA DE CONTROLES Y LLAVES'!I$6:I1000,'DATA DE CONTROLES Y LLAVES'!G$6:G1000},2,FALSE),"")</f>
        <v>flores </v>
      </c>
      <c r="E44" s="53" t="s">
        <v>22</v>
      </c>
      <c r="F44" s="187"/>
      <c r="G44" s="187"/>
    </row>
    <row r="45">
      <c r="B45" s="188" t="s">
        <v>1384</v>
      </c>
      <c r="C45" s="185" t="str">
        <f t="array" ref="C45">IFNA(VLOOKUP(B45,{'DATA DE CONTROLES Y LLAVES'!I$6:I1000,'DATA DE CONTROLES Y LLAVES'!F$6:F1000},2,FALSE),"")</f>
        <v>MIRIAM</v>
      </c>
      <c r="D45" s="185" t="str">
        <f t="array" ref="D45">IFNA(VLOOKUP(B45,{'DATA DE CONTROLES Y LLAVES'!I$6:I1000,'DATA DE CONTROLES Y LLAVES'!G$6:G1000},2,FALSE),"")</f>
        <v>PAVÁN</v>
      </c>
      <c r="E45" s="53" t="s">
        <v>22</v>
      </c>
      <c r="F45" s="187"/>
      <c r="G45" s="187"/>
    </row>
    <row r="46">
      <c r="B46" s="188" t="s">
        <v>1385</v>
      </c>
      <c r="C46" s="185" t="str">
        <f t="array" ref="C46">IFNA(VLOOKUP(B46,{'DATA DE CONTROLES Y LLAVES'!I$6:I1000,'DATA DE CONTROLES Y LLAVES'!F$6:F1000},2,FALSE),"")</f>
        <v>OMAR</v>
      </c>
      <c r="D46" s="185" t="str">
        <f t="array" ref="D46">IFNA(VLOOKUP(B46,{'DATA DE CONTROLES Y LLAVES'!I$6:I1000,'DATA DE CONTROLES Y LLAVES'!G$6:G1000},2,FALSE),"")</f>
        <v>GARCÍA</v>
      </c>
      <c r="E46" s="53" t="s">
        <v>47</v>
      </c>
      <c r="F46" s="187"/>
      <c r="G46" s="187"/>
    </row>
    <row r="47">
      <c r="B47" s="188" t="s">
        <v>1386</v>
      </c>
      <c r="C47" s="185" t="str">
        <f t="array" ref="C47">IFNA(VLOOKUP(B47,{'DATA DE CONTROLES Y LLAVES'!I$6:I1000,'DATA DE CONTROLES Y LLAVES'!F$6:F1000},2,FALSE),"")</f>
        <v>NOHEMÍ</v>
      </c>
      <c r="D47" s="185" t="str">
        <f t="array" ref="D47">IFNA(VLOOKUP(B47,{'DATA DE CONTROLES Y LLAVES'!I$6:I1000,'DATA DE CONTROLES Y LLAVES'!G$6:G1000},2,FALSE),"")</f>
        <v>HERNÁNDEZ</v>
      </c>
      <c r="E47" s="53" t="s">
        <v>22</v>
      </c>
      <c r="F47" s="187"/>
      <c r="G47" s="187"/>
    </row>
    <row r="48">
      <c r="B48" s="188" t="s">
        <v>1387</v>
      </c>
      <c r="C48" s="185" t="str">
        <f t="array" ref="C48">IFNA(VLOOKUP(B48,{'DATA DE CONTROLES Y LLAVES'!I$6:I1000,'DATA DE CONTROLES Y LLAVES'!F$6:F1000},2,FALSE),"")</f>
        <v>NOHEMÍ</v>
      </c>
      <c r="D48" s="185" t="str">
        <f t="array" ref="D48">IFNA(VLOOKUP(B48,{'DATA DE CONTROLES Y LLAVES'!I$6:I1000,'DATA DE CONTROLES Y LLAVES'!G$6:G1000},2,FALSE),"")</f>
        <v>HERNÁNDEZ (HIJA)</v>
      </c>
      <c r="E48" s="53" t="s">
        <v>47</v>
      </c>
      <c r="F48" s="187"/>
      <c r="G48" s="187"/>
    </row>
    <row r="49">
      <c r="B49" s="188" t="s">
        <v>1388</v>
      </c>
      <c r="C49" s="185" t="str">
        <f t="array" ref="C49">IFNA(VLOOKUP(B49,{'DATA DE CONTROLES Y LLAVES'!I$6:I1000,'DATA DE CONTROLES Y LLAVES'!F$6:F1000},2,FALSE),"")</f>
        <v>NESTOR </v>
      </c>
      <c r="D49" s="185" t="str">
        <f t="array" ref="D49">IFNA(VLOOKUP(B49,{'DATA DE CONTROLES Y LLAVES'!I$6:I1000,'DATA DE CONTROLES Y LLAVES'!G$6:G1000},2,FALSE),"")</f>
        <v>MARTINEZ</v>
      </c>
      <c r="E49" s="53" t="s">
        <v>47</v>
      </c>
      <c r="F49" s="187"/>
      <c r="G49" s="187"/>
    </row>
    <row r="50">
      <c r="B50" s="188" t="s">
        <v>1389</v>
      </c>
      <c r="C50" s="185" t="str">
        <f t="array" ref="C50">IFNA(VLOOKUP(B50,{'DATA DE CONTROLES Y LLAVES'!I$6:I1000,'DATA DE CONTROLES Y LLAVES'!F$6:F1000},2,FALSE),"")</f>
        <v>RAMÓN</v>
      </c>
      <c r="D50" s="185" t="str">
        <f t="array" ref="D50">IFNA(VLOOKUP(B50,{'DATA DE CONTROLES Y LLAVES'!I$6:I1000,'DATA DE CONTROLES Y LLAVES'!G$6:G1000},2,FALSE),"")</f>
        <v>PIÑANGO</v>
      </c>
      <c r="E50" s="53" t="s">
        <v>22</v>
      </c>
      <c r="F50" s="187"/>
      <c r="G50" s="187"/>
    </row>
    <row r="51">
      <c r="B51" s="188" t="s">
        <v>1390</v>
      </c>
      <c r="C51" s="185" t="str">
        <f t="array" ref="C51">IFNA(VLOOKUP(B51,{'DATA DE CONTROLES Y LLAVES'!I$6:I1000,'DATA DE CONTROLES Y LLAVES'!F$6:F1000},2,FALSE),"")</f>
        <v>ROBERTO</v>
      </c>
      <c r="D51" s="185" t="str">
        <f t="array" ref="D51">IFNA(VLOOKUP(B51,{'DATA DE CONTROLES Y LLAVES'!I$6:I1000,'DATA DE CONTROLES Y LLAVES'!G$6:G1000},2,FALSE),"")</f>
        <v>TONITO</v>
      </c>
      <c r="E51" s="53" t="s">
        <v>260</v>
      </c>
      <c r="F51" s="187"/>
      <c r="G51" s="187"/>
    </row>
    <row r="52">
      <c r="B52" s="188" t="s">
        <v>1391</v>
      </c>
      <c r="C52" s="185" t="str">
        <f t="array" ref="C52">IFNA(VLOOKUP(B52,{'DATA DE CONTROLES Y LLAVES'!I$6:I1000,'DATA DE CONTROLES Y LLAVES'!F$6:F1000},2,FALSE),"")</f>
        <v>hernan </v>
      </c>
      <c r="D52" s="185" t="str">
        <f t="array" ref="D52">IFNA(VLOOKUP(B52,{'DATA DE CONTROLES Y LLAVES'!I$6:I1000,'DATA DE CONTROLES Y LLAVES'!G$6:G1000},2,FALSE),"")</f>
        <v>Olivar </v>
      </c>
      <c r="E52" s="53" t="s">
        <v>22</v>
      </c>
      <c r="F52" s="187"/>
      <c r="G52" s="187"/>
    </row>
    <row r="53">
      <c r="B53" s="188" t="s">
        <v>1392</v>
      </c>
      <c r="C53" s="185" t="str">
        <f t="array" ref="C53">IFNA(VLOOKUP(B53,{'DATA DE CONTROLES Y LLAVES'!I$6:I1000,'DATA DE CONTROLES Y LLAVES'!F$6:F1000},2,FALSE),"")</f>
        <v>hernan </v>
      </c>
      <c r="D53" s="185" t="str">
        <f t="array" ref="D53">IFNA(VLOOKUP(B53,{'DATA DE CONTROLES Y LLAVES'!I$6:I1000,'DATA DE CONTROLES Y LLAVES'!G$6:G1000},2,FALSE),"")</f>
        <v>Olivar </v>
      </c>
      <c r="E53" s="53" t="s">
        <v>22</v>
      </c>
      <c r="F53" s="187"/>
      <c r="G53" s="187"/>
    </row>
    <row r="54">
      <c r="B54" s="188" t="s">
        <v>1393</v>
      </c>
      <c r="C54" s="185" t="str">
        <f t="array" ref="C54">IFNA(VLOOKUP(B54,{'DATA DE CONTROLES Y LLAVES'!I$6:I1000,'DATA DE CONTROLES Y LLAVES'!F$6:F1000},2,FALSE),"")</f>
        <v/>
      </c>
      <c r="D54" s="185" t="str">
        <f t="array" ref="D54">IFNA(VLOOKUP(B54,{'DATA DE CONTROLES Y LLAVES'!I$6:I1000,'DATA DE CONTROLES Y LLAVES'!G$6:G1000},2,FALSE),"")</f>
        <v/>
      </c>
      <c r="E54" s="53" t="s">
        <v>22</v>
      </c>
      <c r="F54" s="187"/>
      <c r="G54" s="187"/>
    </row>
    <row r="55">
      <c r="B55" s="188" t="s">
        <v>1394</v>
      </c>
      <c r="C55" s="185" t="str">
        <f t="array" ref="C55">IFNA(VLOOKUP(B55,{'DATA DE CONTROLES Y LLAVES'!I$6:I1000,'DATA DE CONTROLES Y LLAVES'!F$6:F1000},2,FALSE),"")</f>
        <v>GABRIEL</v>
      </c>
      <c r="D55" s="185" t="str">
        <f t="array" ref="D55">IFNA(VLOOKUP(B55,{'DATA DE CONTROLES Y LLAVES'!I$6:I1000,'DATA DE CONTROLES Y LLAVES'!G$6:G1000},2,FALSE),"")</f>
        <v>ELÍSEO</v>
      </c>
      <c r="E55" s="53" t="s">
        <v>22</v>
      </c>
      <c r="F55" s="187"/>
      <c r="G55" s="187"/>
    </row>
    <row r="56">
      <c r="B56" s="188" t="s">
        <v>1395</v>
      </c>
      <c r="C56" s="185" t="str">
        <f t="array" ref="C56">IFNA(VLOOKUP(B56,{'DATA DE CONTROLES Y LLAVES'!I$6:I1000,'DATA DE CONTROLES Y LLAVES'!F$6:F1000},2,FALSE),"")</f>
        <v>DENISE</v>
      </c>
      <c r="D56" s="185" t="str">
        <f t="array" ref="D56">IFNA(VLOOKUP(B56,{'DATA DE CONTROLES Y LLAVES'!I$6:I1000,'DATA DE CONTROLES Y LLAVES'!G$6:G1000},2,FALSE),"")</f>
        <v>ISTURIZ</v>
      </c>
      <c r="E56" s="53" t="s">
        <v>47</v>
      </c>
      <c r="F56" s="187"/>
      <c r="G56" s="187"/>
    </row>
    <row r="57">
      <c r="B57" s="188" t="s">
        <v>1396</v>
      </c>
      <c r="C57" s="185" t="str">
        <f t="array" ref="C57">IFNA(VLOOKUP(B57,{'DATA DE CONTROLES Y LLAVES'!I$6:I1000,'DATA DE CONTROLES Y LLAVES'!F$6:F1000},2,FALSE),"")</f>
        <v>ALONZO</v>
      </c>
      <c r="D57" s="185" t="str">
        <f t="array" ref="D57">IFNA(VLOOKUP(B57,{'DATA DE CONTROLES Y LLAVES'!I$6:I1000,'DATA DE CONTROLES Y LLAVES'!G$6:G1000},2,FALSE),"")</f>
        <v>GUEDEZ</v>
      </c>
      <c r="E57" s="53" t="s">
        <v>47</v>
      </c>
      <c r="F57" s="187"/>
      <c r="G57" s="187"/>
    </row>
    <row r="58">
      <c r="B58" s="188" t="s">
        <v>1397</v>
      </c>
      <c r="C58" s="185" t="str">
        <f t="array" ref="C58">IFNA(VLOOKUP(B58,{'DATA DE CONTROLES Y LLAVES'!I$6:I1000,'DATA DE CONTROLES Y LLAVES'!F$6:F1000},2,FALSE),"")</f>
        <v>PEDRO</v>
      </c>
      <c r="D58" s="185" t="str">
        <f t="array" ref="D58">IFNA(VLOOKUP(B58,{'DATA DE CONTROLES Y LLAVES'!I$6:I1000,'DATA DE CONTROLES Y LLAVES'!G$6:G1000},2,FALSE),"")</f>
        <v>RAMOS</v>
      </c>
      <c r="E58" s="53" t="s">
        <v>22</v>
      </c>
      <c r="F58" s="187"/>
      <c r="G58" s="187"/>
    </row>
    <row r="59">
      <c r="B59" s="188" t="s">
        <v>1398</v>
      </c>
      <c r="C59" s="185" t="str">
        <f t="array" ref="C59">IFNA(VLOOKUP(B59,{'DATA DE CONTROLES Y LLAVES'!I$6:I1000,'DATA DE CONTROLES Y LLAVES'!F$6:F1000},2,FALSE),"")</f>
        <v>MARY (DE)</v>
      </c>
      <c r="D59" s="185" t="str">
        <f t="array" ref="D59">IFNA(VLOOKUP(B59,{'DATA DE CONTROLES Y LLAVES'!I$6:I1000,'DATA DE CONTROLES Y LLAVES'!G$6:G1000},2,FALSE),"")</f>
        <v>RAMOS</v>
      </c>
      <c r="E59" s="53" t="s">
        <v>22</v>
      </c>
      <c r="F59" s="187"/>
      <c r="G59" s="187"/>
    </row>
    <row r="60">
      <c r="B60" s="188" t="s">
        <v>1399</v>
      </c>
      <c r="C60" s="185" t="str">
        <f t="array" ref="C60">IFNA(VLOOKUP(B60,{'DATA DE CONTROLES Y LLAVES'!I$6:I1000,'DATA DE CONTROLES Y LLAVES'!F$6:F1000},2,FALSE),"")</f>
        <v>PEDRO (PAPA)</v>
      </c>
      <c r="D60" s="185" t="str">
        <f t="array" ref="D60">IFNA(VLOOKUP(B60,{'DATA DE CONTROLES Y LLAVES'!I$6:I1000,'DATA DE CONTROLES Y LLAVES'!G$6:G1000},2,FALSE),"")</f>
        <v>RAMOS</v>
      </c>
      <c r="E60" s="53" t="s">
        <v>22</v>
      </c>
      <c r="F60" s="187"/>
      <c r="G60" s="187"/>
    </row>
    <row r="61">
      <c r="B61" s="188" t="s">
        <v>1400</v>
      </c>
      <c r="C61" s="185" t="str">
        <f t="array" ref="C61">IFNA(VLOOKUP(B61,{'DATA DE CONTROLES Y LLAVES'!I$6:I1000,'DATA DE CONTROLES Y LLAVES'!F$6:F1000},2,FALSE),"")</f>
        <v>Reinaldo</v>
      </c>
      <c r="D61" s="185" t="str">
        <f t="array" ref="D61">IFNA(VLOOKUP(B61,{'DATA DE CONTROLES Y LLAVES'!I$6:I1000,'DATA DE CONTROLES Y LLAVES'!G$6:G1000},2,FALSE),"")</f>
        <v>Arenas</v>
      </c>
      <c r="E61" s="53" t="s">
        <v>22</v>
      </c>
      <c r="F61" s="187"/>
      <c r="G61" s="187"/>
    </row>
    <row r="62">
      <c r="B62" s="188" t="s">
        <v>1401</v>
      </c>
      <c r="C62" s="185" t="str">
        <f t="array" ref="C62">IFNA(VLOOKUP(B62,{'DATA DE CONTROLES Y LLAVES'!I$6:I1000,'DATA DE CONTROLES Y LLAVES'!F$6:F1000},2,FALSE),"")</f>
        <v>MAYLIN</v>
      </c>
      <c r="D62" s="185" t="str">
        <f t="array" ref="D62">IFNA(VLOOKUP(B62,{'DATA DE CONTROLES Y LLAVES'!I$6:I1000,'DATA DE CONTROLES Y LLAVES'!G$6:G1000},2,FALSE),"")</f>
        <v>GARCÍA</v>
      </c>
      <c r="E62" s="53" t="s">
        <v>22</v>
      </c>
      <c r="F62" s="187"/>
      <c r="G62" s="187"/>
    </row>
    <row r="63">
      <c r="B63" s="188" t="s">
        <v>1402</v>
      </c>
      <c r="C63" s="185" t="str">
        <f t="array" ref="C63">IFNA(VLOOKUP(B63,{'DATA DE CONTROLES Y LLAVES'!I$6:I1000,'DATA DE CONTROLES Y LLAVES'!F$6:F1000},2,FALSE),"")</f>
        <v>carolina</v>
      </c>
      <c r="D63" s="185" t="str">
        <f t="array" ref="D63">IFNA(VLOOKUP(B63,{'DATA DE CONTROLES Y LLAVES'!I$6:I1000,'DATA DE CONTROLES Y LLAVES'!G$6:G1000},2,FALSE),"")</f>
        <v>Piñate</v>
      </c>
      <c r="E63" s="53" t="s">
        <v>22</v>
      </c>
      <c r="F63" s="187"/>
      <c r="G63" s="187"/>
    </row>
    <row r="64">
      <c r="B64" s="188" t="s">
        <v>1403</v>
      </c>
      <c r="C64" s="185" t="str">
        <f t="array" ref="C64">IFNA(VLOOKUP(B64,{'DATA DE CONTROLES Y LLAVES'!I$6:I1000,'DATA DE CONTROLES Y LLAVES'!F$6:F1000},2,FALSE),"")</f>
        <v>Angélica</v>
      </c>
      <c r="D64" s="185" t="str">
        <f t="array" ref="D64">IFNA(VLOOKUP(B64,{'DATA DE CONTROLES Y LLAVES'!I$6:I1000,'DATA DE CONTROLES Y LLAVES'!G$6:G1000},2,FALSE),"")</f>
        <v>Ibarra</v>
      </c>
      <c r="E64" s="53" t="s">
        <v>22</v>
      </c>
      <c r="F64" s="187"/>
      <c r="G64" s="187"/>
    </row>
    <row r="65">
      <c r="B65" s="188" t="s">
        <v>1404</v>
      </c>
      <c r="C65" s="185" t="str">
        <f t="array" ref="C65">IFNA(VLOOKUP(B65,{'DATA DE CONTROLES Y LLAVES'!I$6:I1000,'DATA DE CONTROLES Y LLAVES'!F$6:F1000},2,FALSE),"")</f>
        <v>FRAN </v>
      </c>
      <c r="D65" s="185" t="str">
        <f t="array" ref="D65">IFNA(VLOOKUP(B65,{'DATA DE CONTROLES Y LLAVES'!I$6:I1000,'DATA DE CONTROLES Y LLAVES'!G$6:G1000},2,FALSE),"")</f>
        <v>MENDOZA </v>
      </c>
      <c r="E65" s="53" t="s">
        <v>22</v>
      </c>
      <c r="F65" s="187"/>
      <c r="G65" s="187"/>
    </row>
    <row r="66">
      <c r="B66" s="188" t="s">
        <v>1405</v>
      </c>
      <c r="C66" s="185" t="str">
        <f t="array" ref="C66">IFNA(VLOOKUP(B66,{'DATA DE CONTROLES Y LLAVES'!I$6:I1000,'DATA DE CONTROLES Y LLAVES'!F$6:F1000},2,FALSE),"")</f>
        <v>PEDRO</v>
      </c>
      <c r="D66" s="185" t="str">
        <f t="array" ref="D66">IFNA(VLOOKUP(B66,{'DATA DE CONTROLES Y LLAVES'!I$6:I1000,'DATA DE CONTROLES Y LLAVES'!G$6:G1000},2,FALSE),"")</f>
        <v>PIÑATE</v>
      </c>
      <c r="E66" s="53" t="s">
        <v>22</v>
      </c>
      <c r="F66" s="187"/>
      <c r="G66" s="187"/>
    </row>
    <row r="67">
      <c r="B67" s="188" t="s">
        <v>1406</v>
      </c>
      <c r="C67" s="185" t="str">
        <f t="array" ref="C67">IFNA(VLOOKUP(B67,{'DATA DE CONTROLES Y LLAVES'!I$6:I1000,'DATA DE CONTROLES Y LLAVES'!F$6:F1000},2,FALSE),"")</f>
        <v>DINO</v>
      </c>
      <c r="D67" s="185" t="str">
        <f t="array" ref="D67">IFNA(VLOOKUP(B67,{'DATA DE CONTROLES Y LLAVES'!I$6:I1000,'DATA DE CONTROLES Y LLAVES'!G$6:G1000},2,FALSE),"")</f>
        <v>BIANCO</v>
      </c>
      <c r="E67" s="53" t="s">
        <v>22</v>
      </c>
      <c r="F67" s="187"/>
      <c r="G67" s="187"/>
    </row>
    <row r="68">
      <c r="B68" s="188" t="s">
        <v>1407</v>
      </c>
      <c r="C68" s="185" t="str">
        <f t="array" ref="C68">IFNA(VLOOKUP(B68,{'DATA DE CONTROLES Y LLAVES'!I$6:I1000,'DATA DE CONTROLES Y LLAVES'!F$6:F1000},2,FALSE),"")</f>
        <v>ARELIS</v>
      </c>
      <c r="D68" s="185" t="str">
        <f t="array" ref="D68">IFNA(VLOOKUP(B68,{'DATA DE CONTROLES Y LLAVES'!I$6:I1000,'DATA DE CONTROLES Y LLAVES'!G$6:G1000},2,FALSE),"")</f>
        <v>PIÑATE</v>
      </c>
      <c r="E68" s="53" t="s">
        <v>22</v>
      </c>
      <c r="F68" s="187"/>
      <c r="G68" s="187"/>
    </row>
    <row r="69">
      <c r="B69" s="188" t="s">
        <v>1408</v>
      </c>
      <c r="C69" s="185" t="str">
        <f t="array" ref="C69">IFNA(VLOOKUP(B69,{'DATA DE CONTROLES Y LLAVES'!I$6:I1000,'DATA DE CONTROLES Y LLAVES'!F$6:F1000},2,FALSE),"")</f>
        <v>EDGARDO</v>
      </c>
      <c r="D69" s="185" t="str">
        <f t="array" ref="D69">IFNA(VLOOKUP(B69,{'DATA DE CONTROLES Y LLAVES'!I$6:I1000,'DATA DE CONTROLES Y LLAVES'!G$6:G1000},2,FALSE),"")</f>
        <v>ACEITUNO</v>
      </c>
      <c r="E69" s="53" t="s">
        <v>22</v>
      </c>
      <c r="F69" s="187"/>
      <c r="G69" s="187"/>
    </row>
    <row r="70">
      <c r="B70" s="188" t="s">
        <v>1409</v>
      </c>
      <c r="C70" s="185" t="str">
        <f t="array" ref="C70">IFNA(VLOOKUP(B70,{'DATA DE CONTROLES Y LLAVES'!I$6:I1000,'DATA DE CONTROLES Y LLAVES'!F$6:F1000},2,FALSE),"")</f>
        <v>BELKIS</v>
      </c>
      <c r="D70" s="185" t="str">
        <f t="array" ref="D70">IFNA(VLOOKUP(B70,{'DATA DE CONTROLES Y LLAVES'!I$6:I1000,'DATA DE CONTROLES Y LLAVES'!G$6:G1000},2,FALSE),"")</f>
        <v>BARRAEZ</v>
      </c>
      <c r="E70" s="53" t="s">
        <v>22</v>
      </c>
      <c r="F70" s="187"/>
      <c r="G70" s="187"/>
    </row>
    <row r="71">
      <c r="B71" s="188" t="s">
        <v>1410</v>
      </c>
      <c r="C71" s="185" t="str">
        <f t="array" ref="C71">IFNA(VLOOKUP(B71,{'DATA DE CONTROLES Y LLAVES'!I$6:I1000,'DATA DE CONTROLES Y LLAVES'!F$6:F1000},2,FALSE),"")</f>
        <v>JACKELINE</v>
      </c>
      <c r="D71" s="185" t="str">
        <f t="array" ref="D71">IFNA(VLOOKUP(B71,{'DATA DE CONTROLES Y LLAVES'!I$6:I1000,'DATA DE CONTROLES Y LLAVES'!G$6:G1000},2,FALSE),"")</f>
        <v>ORTEGA</v>
      </c>
      <c r="E71" s="53" t="s">
        <v>22</v>
      </c>
      <c r="F71" s="187"/>
      <c r="G71" s="187"/>
    </row>
    <row r="72">
      <c r="B72" s="188" t="s">
        <v>1411</v>
      </c>
      <c r="C72" s="185" t="str">
        <f t="array" ref="C72">IFNA(VLOOKUP(B72,{'DATA DE CONTROLES Y LLAVES'!I$6:I1000,'DATA DE CONTROLES Y LLAVES'!F$6:F1000},2,FALSE),"")</f>
        <v>DANIELA </v>
      </c>
      <c r="D72" s="185" t="str">
        <f t="array" ref="D72">IFNA(VLOOKUP(B72,{'DATA DE CONTROLES Y LLAVES'!I$6:I1000,'DATA DE CONTROLES Y LLAVES'!G$6:G1000},2,FALSE),"")</f>
        <v>MARTÍNEZ </v>
      </c>
      <c r="E72" s="53" t="s">
        <v>47</v>
      </c>
      <c r="F72" s="187"/>
      <c r="G72" s="187"/>
    </row>
    <row r="73">
      <c r="B73" s="188" t="s">
        <v>1412</v>
      </c>
      <c r="C73" s="185" t="str">
        <f t="array" ref="C73">IFNA(VLOOKUP(B73,{'DATA DE CONTROLES Y LLAVES'!I$6:I1000,'DATA DE CONTROLES Y LLAVES'!F$6:F1000},2,FALSE),"")</f>
        <v>JOSÉ</v>
      </c>
      <c r="D73" s="185" t="str">
        <f t="array" ref="D73">IFNA(VLOOKUP(B73,{'DATA DE CONTROLES Y LLAVES'!I$6:I1000,'DATA DE CONTROLES Y LLAVES'!G$6:G1000},2,FALSE),"")</f>
        <v>MARTÍNEZ D.</v>
      </c>
      <c r="E73" s="53" t="s">
        <v>22</v>
      </c>
      <c r="F73" s="187"/>
      <c r="G73" s="187"/>
    </row>
    <row r="74">
      <c r="B74" s="188" t="s">
        <v>1413</v>
      </c>
      <c r="C74" s="185" t="str">
        <f t="array" ref="C74">IFNA(VLOOKUP(B74,{'DATA DE CONTROLES Y LLAVES'!I$6:I1000,'DATA DE CONTROLES Y LLAVES'!F$6:F1000},2,FALSE),"")</f>
        <v>CARLOS</v>
      </c>
      <c r="D74" s="185" t="str">
        <f t="array" ref="D74">IFNA(VLOOKUP(B74,{'DATA DE CONTROLES Y LLAVES'!I$6:I1000,'DATA DE CONTROLES Y LLAVES'!G$6:G1000},2,FALSE),"")</f>
        <v>SÁNCHEZ</v>
      </c>
      <c r="E74" s="53" t="s">
        <v>22</v>
      </c>
      <c r="F74" s="187"/>
      <c r="G74" s="187"/>
    </row>
    <row r="75">
      <c r="B75" s="188" t="s">
        <v>1414</v>
      </c>
      <c r="C75" s="185" t="str">
        <f t="array" ref="C75">IFNA(VLOOKUP(B75,{'DATA DE CONTROLES Y LLAVES'!I$6:I1000,'DATA DE CONTROLES Y LLAVES'!F$6:F1000},2,FALSE),"")</f>
        <v>BEATRIZ</v>
      </c>
      <c r="D75" s="185" t="str">
        <f t="array" ref="D75">IFNA(VLOOKUP(B75,{'DATA DE CONTROLES Y LLAVES'!I$6:I1000,'DATA DE CONTROLES Y LLAVES'!G$6:G1000},2,FALSE),"")</f>
        <v>RODRÍGUEZ</v>
      </c>
      <c r="E75" s="53" t="s">
        <v>22</v>
      </c>
      <c r="F75" s="187"/>
      <c r="G75" s="187"/>
    </row>
    <row r="76">
      <c r="B76" s="188" t="s">
        <v>1415</v>
      </c>
      <c r="C76" s="185" t="str">
        <f t="array" ref="C76">IFNA(VLOOKUP(B76,{'DATA DE CONTROLES Y LLAVES'!I$6:I1000,'DATA DE CONTROLES Y LLAVES'!F$6:F1000},2,FALSE),"")</f>
        <v>Alvaro (hijo)</v>
      </c>
      <c r="D76" s="185" t="str">
        <f t="array" ref="D76">IFNA(VLOOKUP(B76,{'DATA DE CONTROLES Y LLAVES'!I$6:I1000,'DATA DE CONTROLES Y LLAVES'!G$6:G1000},2,FALSE),"")</f>
        <v>Parra </v>
      </c>
      <c r="E76" s="53" t="s">
        <v>22</v>
      </c>
      <c r="F76" s="187"/>
      <c r="G76" s="187"/>
    </row>
    <row r="77">
      <c r="B77" s="188" t="s">
        <v>1416</v>
      </c>
      <c r="C77" s="185" t="str">
        <f t="array" ref="C77">IFNA(VLOOKUP(B77,{'DATA DE CONTROLES Y LLAVES'!I$6:I1000,'DATA DE CONTROLES Y LLAVES'!F$6:F1000},2,FALSE),"")</f>
        <v>FLOR</v>
      </c>
      <c r="D77" s="185" t="str">
        <f t="array" ref="D77">IFNA(VLOOKUP(B77,{'DATA DE CONTROLES Y LLAVES'!I$6:I1000,'DATA DE CONTROLES Y LLAVES'!G$6:G1000},2,FALSE),"")</f>
        <v>PIÑANGO</v>
      </c>
      <c r="E77" s="53" t="s">
        <v>22</v>
      </c>
      <c r="F77" s="187"/>
      <c r="G77" s="187"/>
    </row>
    <row r="78">
      <c r="B78" s="188" t="s">
        <v>1417</v>
      </c>
      <c r="C78" s="185" t="str">
        <f t="array" ref="C78">IFNA(VLOOKUP(B78,{'DATA DE CONTROLES Y LLAVES'!I$6:I1000,'DATA DE CONTROLES Y LLAVES'!F$6:F1000},2,FALSE),"")</f>
        <v>MARIALIS</v>
      </c>
      <c r="D78" s="185" t="str">
        <f t="array" ref="D78">IFNA(VLOOKUP(B78,{'DATA DE CONTROLES Y LLAVES'!I$6:I1000,'DATA DE CONTROLES Y LLAVES'!G$6:G1000},2,FALSE),"")</f>
        <v>SMAIN</v>
      </c>
      <c r="E78" s="53" t="s">
        <v>47</v>
      </c>
      <c r="F78" s="187"/>
      <c r="G78" s="187"/>
    </row>
    <row r="79">
      <c r="B79" s="188" t="s">
        <v>1418</v>
      </c>
      <c r="C79" s="185" t="str">
        <f t="array" ref="C79">IFNA(VLOOKUP(B79,{'DATA DE CONTROLES Y LLAVES'!I$6:I1000,'DATA DE CONTROLES Y LLAVES'!F$6:F1000},2,FALSE),"")</f>
        <v>AURISTELA</v>
      </c>
      <c r="D79" s="185" t="str">
        <f t="array" ref="D79">IFNA(VLOOKUP(B79,{'DATA DE CONTROLES Y LLAVES'!I$6:I1000,'DATA DE CONTROLES Y LLAVES'!G$6:G1000},2,FALSE),"")</f>
        <v>GONCALVEZ</v>
      </c>
      <c r="E79" s="53" t="s">
        <v>47</v>
      </c>
      <c r="F79" s="187"/>
      <c r="G79" s="187"/>
    </row>
    <row r="80">
      <c r="B80" s="188" t="s">
        <v>1419</v>
      </c>
      <c r="C80" s="185" t="str">
        <f t="array" ref="C80">IFNA(VLOOKUP(B80,{'DATA DE CONTROLES Y LLAVES'!I$6:I1000,'DATA DE CONTROLES Y LLAVES'!F$6:F1000},2,FALSE),"")</f>
        <v>JOSÉ</v>
      </c>
      <c r="D80" s="185" t="str">
        <f t="array" ref="D80">IFNA(VLOOKUP(B80,{'DATA DE CONTROLES Y LLAVES'!I$6:I1000,'DATA DE CONTROLES Y LLAVES'!G$6:G1000},2,FALSE),"")</f>
        <v>GONCALVEZ</v>
      </c>
      <c r="E80" s="53" t="s">
        <v>22</v>
      </c>
      <c r="F80" s="187"/>
      <c r="G80" s="187"/>
    </row>
    <row r="81">
      <c r="B81" s="188" t="s">
        <v>1420</v>
      </c>
      <c r="C81" s="185" t="str">
        <f t="array" ref="C81">IFNA(VLOOKUP(B81,{'DATA DE CONTROLES Y LLAVES'!I$6:I1000,'DATA DE CONTROLES Y LLAVES'!F$6:F1000},2,FALSE),"")</f>
        <v>LEONARDO </v>
      </c>
      <c r="D81" s="185" t="str">
        <f t="array" ref="D81">IFNA(VLOOKUP(B81,{'DATA DE CONTROLES Y LLAVES'!I$6:I1000,'DATA DE CONTROLES Y LLAVES'!G$6:G1000},2,FALSE),"")</f>
        <v>CABALLERO</v>
      </c>
      <c r="E81" s="53" t="s">
        <v>47</v>
      </c>
      <c r="F81" s="187"/>
      <c r="G81" s="187"/>
    </row>
    <row r="82">
      <c r="B82" s="188" t="s">
        <v>1421</v>
      </c>
      <c r="C82" s="185" t="str">
        <f t="array" ref="C82">IFNA(VLOOKUP(B82,{'DATA DE CONTROLES Y LLAVES'!I$6:I1000,'DATA DE CONTROLES Y LLAVES'!F$6:F1000},2,FALSE),"")</f>
        <v>ALVARO</v>
      </c>
      <c r="D82" s="185" t="str">
        <f t="array" ref="D82">IFNA(VLOOKUP(B82,{'DATA DE CONTROLES Y LLAVES'!I$6:I1000,'DATA DE CONTROLES Y LLAVES'!G$6:G1000},2,FALSE),"")</f>
        <v>PARRA</v>
      </c>
      <c r="E82" s="53" t="s">
        <v>260</v>
      </c>
      <c r="F82" s="187"/>
      <c r="G82" s="187"/>
    </row>
    <row r="83">
      <c r="B83" s="188" t="s">
        <v>1422</v>
      </c>
      <c r="C83" s="185" t="str">
        <f t="array" ref="C83">IFNA(VLOOKUP(B83,{'DATA DE CONTROLES Y LLAVES'!I$6:I1000,'DATA DE CONTROLES Y LLAVES'!F$6:F1000},2,FALSE),"")</f>
        <v/>
      </c>
      <c r="D83" s="185" t="str">
        <f t="array" ref="D83">IFNA(VLOOKUP(B83,{'DATA DE CONTROLES Y LLAVES'!I$6:I1000,'DATA DE CONTROLES Y LLAVES'!G$6:G1000},2,FALSE),"")</f>
        <v/>
      </c>
      <c r="E83" s="53" t="s">
        <v>47</v>
      </c>
      <c r="F83" s="187"/>
      <c r="G83" s="187"/>
    </row>
    <row r="84">
      <c r="B84" s="188" t="s">
        <v>1423</v>
      </c>
      <c r="C84" s="185" t="str">
        <f t="array" ref="C84">IFNA(VLOOKUP(B84,{'DATA DE CONTROLES Y LLAVES'!I$6:I1000,'DATA DE CONTROLES Y LLAVES'!F$6:F1000},2,FALSE),"")</f>
        <v>JANETTE</v>
      </c>
      <c r="D84" s="185" t="str">
        <f t="array" ref="D84">IFNA(VLOOKUP(B84,{'DATA DE CONTROLES Y LLAVES'!I$6:I1000,'DATA DE CONTROLES Y LLAVES'!G$6:G1000},2,FALSE),"")</f>
        <v>HERNÁNDEZ</v>
      </c>
      <c r="E84" s="53" t="s">
        <v>47</v>
      </c>
      <c r="F84" s="187"/>
      <c r="G84" s="187"/>
    </row>
    <row r="85">
      <c r="B85" s="188" t="s">
        <v>1424</v>
      </c>
      <c r="C85" s="185" t="str">
        <f t="array" ref="C85">IFNA(VLOOKUP(B85,{'DATA DE CONTROLES Y LLAVES'!I$6:I1000,'DATA DE CONTROLES Y LLAVES'!F$6:F1000},2,FALSE),"")</f>
        <v/>
      </c>
      <c r="D85" s="185" t="str">
        <f t="array" ref="D85">IFNA(VLOOKUP(B85,{'DATA DE CONTROLES Y LLAVES'!I$6:I1000,'DATA DE CONTROLES Y LLAVES'!G$6:G1000},2,FALSE),"")</f>
        <v/>
      </c>
      <c r="E85" s="53" t="s">
        <v>22</v>
      </c>
      <c r="F85" s="187"/>
      <c r="G85" s="187"/>
    </row>
    <row r="86">
      <c r="B86" s="188" t="s">
        <v>1425</v>
      </c>
      <c r="C86" s="185" t="str">
        <f t="array" ref="C86">IFNA(VLOOKUP(B86,{'DATA DE CONTROLES Y LLAVES'!I$6:I1000,'DATA DE CONTROLES Y LLAVES'!F$6:F1000},2,FALSE),"")</f>
        <v>VICTOR </v>
      </c>
      <c r="D86" s="185" t="str">
        <f t="array" ref="D86">IFNA(VLOOKUP(B86,{'DATA DE CONTROLES Y LLAVES'!I$6:I1000,'DATA DE CONTROLES Y LLAVES'!G$6:G1000},2,FALSE),"")</f>
        <v>VIEIRA</v>
      </c>
      <c r="E86" s="53" t="s">
        <v>22</v>
      </c>
      <c r="F86" s="187"/>
      <c r="G86" s="187"/>
    </row>
    <row r="87">
      <c r="B87" s="188" t="s">
        <v>1426</v>
      </c>
      <c r="C87" s="185" t="str">
        <f t="array" ref="C87">IFNA(VLOOKUP(B87,{'DATA DE CONTROLES Y LLAVES'!I$6:I1000,'DATA DE CONTROLES Y LLAVES'!F$6:F1000},2,FALSE),"")</f>
        <v>ANGELO</v>
      </c>
      <c r="D87" s="185" t="str">
        <f t="array" ref="D87">IFNA(VLOOKUP(B87,{'DATA DE CONTROLES Y LLAVES'!I$6:I1000,'DATA DE CONTROLES Y LLAVES'!G$6:G1000},2,FALSE),"")</f>
        <v>BIANCO</v>
      </c>
      <c r="E87" s="53" t="s">
        <v>22</v>
      </c>
      <c r="F87" s="187"/>
      <c r="G87" s="187"/>
    </row>
    <row r="88">
      <c r="B88" s="188" t="s">
        <v>1427</v>
      </c>
      <c r="C88" s="185" t="str">
        <f t="array" ref="C88">IFNA(VLOOKUP(B88,{'DATA DE CONTROLES Y LLAVES'!I$6:I1000,'DATA DE CONTROLES Y LLAVES'!F$6:F1000},2,FALSE),"")</f>
        <v>ELVIS</v>
      </c>
      <c r="D88" s="185" t="str">
        <f t="array" ref="D88">IFNA(VLOOKUP(B88,{'DATA DE CONTROLES Y LLAVES'!I$6:I1000,'DATA DE CONTROLES Y LLAVES'!G$6:G1000},2,FALSE),"")</f>
        <v>SEIJA</v>
      </c>
      <c r="E88" s="53" t="s">
        <v>22</v>
      </c>
      <c r="F88" s="187"/>
      <c r="G88" s="187"/>
    </row>
    <row r="89">
      <c r="B89" s="188" t="s">
        <v>1428</v>
      </c>
      <c r="C89" s="185" t="str">
        <f t="array" ref="C89">IFNA(VLOOKUP(B89,{'DATA DE CONTROLES Y LLAVES'!I$6:I1000,'DATA DE CONTROLES Y LLAVES'!F$6:F1000},2,FALSE),"")</f>
        <v>CARLOS</v>
      </c>
      <c r="D89" s="185" t="str">
        <f t="array" ref="D89">IFNA(VLOOKUP(B89,{'DATA DE CONTROLES Y LLAVES'!I$6:I1000,'DATA DE CONTROLES Y LLAVES'!G$6:G1000},2,FALSE),"")</f>
        <v>GONZÁLEZ</v>
      </c>
      <c r="E89" s="53" t="s">
        <v>22</v>
      </c>
      <c r="F89" s="187"/>
      <c r="G89" s="187"/>
    </row>
    <row r="90">
      <c r="B90" s="188" t="s">
        <v>1429</v>
      </c>
      <c r="C90" s="185" t="str">
        <f t="array" ref="C90">IFNA(VLOOKUP(B90,{'DATA DE CONTROLES Y LLAVES'!I$6:I1000,'DATA DE CONTROLES Y LLAVES'!F$6:F1000},2,FALSE),"")</f>
        <v>PABLO</v>
      </c>
      <c r="D90" s="185" t="str">
        <f t="array" ref="D90">IFNA(VLOOKUP(B90,{'DATA DE CONTROLES Y LLAVES'!I$6:I1000,'DATA DE CONTROLES Y LLAVES'!G$6:G1000},2,FALSE),"")</f>
        <v>GARMENDIA</v>
      </c>
      <c r="E90" s="53" t="s">
        <v>22</v>
      </c>
      <c r="F90" s="187"/>
      <c r="G90" s="187"/>
    </row>
    <row r="91">
      <c r="B91" s="188" t="s">
        <v>1430</v>
      </c>
      <c r="C91" s="185" t="str">
        <f t="array" ref="C91">IFNA(VLOOKUP(B91,{'DATA DE CONTROLES Y LLAVES'!I$6:I1000,'DATA DE CONTROLES Y LLAVES'!F$6:F1000},2,FALSE),"")</f>
        <v>PEDRO</v>
      </c>
      <c r="D91" s="185" t="str">
        <f t="array" ref="D91">IFNA(VLOOKUP(B91,{'DATA DE CONTROLES Y LLAVES'!I$6:I1000,'DATA DE CONTROLES Y LLAVES'!G$6:G1000},2,FALSE),"")</f>
        <v>CARVAJAL</v>
      </c>
      <c r="E91" s="53" t="s">
        <v>22</v>
      </c>
      <c r="F91" s="187"/>
      <c r="G91" s="187"/>
    </row>
    <row r="92">
      <c r="B92" s="188" t="s">
        <v>1431</v>
      </c>
      <c r="C92" s="185" t="str">
        <f t="array" ref="C92">IFNA(VLOOKUP(B92,{'DATA DE CONTROLES Y LLAVES'!I$6:I1000,'DATA DE CONTROLES Y LLAVES'!F$6:F1000},2,FALSE),"")</f>
        <v>RANIER</v>
      </c>
      <c r="D92" s="185" t="str">
        <f t="array" ref="D92">IFNA(VLOOKUP(B92,{'DATA DE CONTROLES Y LLAVES'!I$6:I1000,'DATA DE CONTROLES Y LLAVES'!G$6:G1000},2,FALSE),"")</f>
        <v>MALAVE</v>
      </c>
      <c r="E92" s="53" t="s">
        <v>47</v>
      </c>
      <c r="F92" s="187"/>
      <c r="G92" s="187"/>
    </row>
    <row r="93">
      <c r="B93" s="188" t="s">
        <v>1432</v>
      </c>
      <c r="C93" s="185" t="str">
        <f t="array" ref="C93">IFNA(VLOOKUP(B93,{'DATA DE CONTROLES Y LLAVES'!I$6:I1000,'DATA DE CONTROLES Y LLAVES'!F$6:F1000},2,FALSE),"")</f>
        <v>ALOIS</v>
      </c>
      <c r="D93" s="185" t="str">
        <f t="array" ref="D93">IFNA(VLOOKUP(B93,{'DATA DE CONTROLES Y LLAVES'!I$6:I1000,'DATA DE CONTROLES Y LLAVES'!G$6:G1000},2,FALSE),"")</f>
        <v>QUIJANOS</v>
      </c>
      <c r="E93" s="53" t="s">
        <v>22</v>
      </c>
      <c r="F93" s="187"/>
      <c r="G93" s="187"/>
    </row>
    <row r="94">
      <c r="B94" s="188" t="s">
        <v>1433</v>
      </c>
      <c r="C94" s="185" t="str">
        <f t="array" ref="C94">IFNA(VLOOKUP(B94,{'DATA DE CONTROLES Y LLAVES'!I$6:I1000,'DATA DE CONTROLES Y LLAVES'!F$6:F1000},2,FALSE),"")</f>
        <v>DARLING</v>
      </c>
      <c r="D94" s="185" t="str">
        <f t="array" ref="D94">IFNA(VLOOKUP(B94,{'DATA DE CONTROLES Y LLAVES'!I$6:I1000,'DATA DE CONTROLES Y LLAVES'!G$6:G1000},2,FALSE),"")</f>
        <v>VIVAS</v>
      </c>
      <c r="E94" s="53" t="s">
        <v>22</v>
      </c>
      <c r="F94" s="187"/>
      <c r="G94" s="187"/>
    </row>
    <row r="95">
      <c r="B95" s="188" t="s">
        <v>1434</v>
      </c>
      <c r="C95" s="185" t="str">
        <f t="array" ref="C95">IFNA(VLOOKUP(B95,{'DATA DE CONTROLES Y LLAVES'!I$6:I1000,'DATA DE CONTROLES Y LLAVES'!F$6:F1000},2,FALSE),"")</f>
        <v>JOJANDUAR</v>
      </c>
      <c r="D95" s="185" t="str">
        <f t="array" ref="D95">IFNA(VLOOKUP(B95,{'DATA DE CONTROLES Y LLAVES'!I$6:I1000,'DATA DE CONTROLES Y LLAVES'!G$6:G1000},2,FALSE),"")</f>
        <v>QUIJANOS</v>
      </c>
      <c r="E95" s="53" t="s">
        <v>47</v>
      </c>
      <c r="F95" s="187"/>
      <c r="G95" s="187"/>
    </row>
    <row r="96">
      <c r="B96" s="188" t="s">
        <v>1435</v>
      </c>
      <c r="C96" s="185" t="str">
        <f t="array" ref="C96">IFNA(VLOOKUP(B96,{'DATA DE CONTROLES Y LLAVES'!I$6:I1000,'DATA DE CONTROLES Y LLAVES'!F$6:F1000},2,FALSE),"")</f>
        <v>ALEJANDRO</v>
      </c>
      <c r="D96" s="185" t="str">
        <f t="array" ref="D96">IFNA(VLOOKUP(B96,{'DATA DE CONTROLES Y LLAVES'!I$6:I1000,'DATA DE CONTROLES Y LLAVES'!G$6:G1000},2,FALSE),"")</f>
        <v>VILLEGAS</v>
      </c>
      <c r="E96" s="53" t="s">
        <v>22</v>
      </c>
      <c r="F96" s="187"/>
      <c r="G96" s="187"/>
    </row>
    <row r="97">
      <c r="B97" s="188" t="s">
        <v>1436</v>
      </c>
      <c r="C97" s="185" t="str">
        <f t="array" ref="C97">IFNA(VLOOKUP(B97,{'DATA DE CONTROLES Y LLAVES'!I$6:I1000,'DATA DE CONTROLES Y LLAVES'!F$6:F1000},2,FALSE),"")</f>
        <v>JETSER</v>
      </c>
      <c r="D97" s="185" t="str">
        <f t="array" ref="D97">IFNA(VLOOKUP(B97,{'DATA DE CONTROLES Y LLAVES'!I$6:I1000,'DATA DE CONTROLES Y LLAVES'!G$6:G1000},2,FALSE),"")</f>
        <v>DAZA</v>
      </c>
      <c r="E97" s="53" t="s">
        <v>47</v>
      </c>
      <c r="F97" s="187"/>
      <c r="G97" s="187"/>
    </row>
    <row r="98">
      <c r="B98" s="188" t="s">
        <v>1437</v>
      </c>
      <c r="C98" s="185" t="str">
        <f t="array" ref="C98">IFNA(VLOOKUP(B98,{'DATA DE CONTROLES Y LLAVES'!I$6:I1000,'DATA DE CONTROLES Y LLAVES'!F$6:F1000},2,FALSE),"")</f>
        <v>CÉSAR</v>
      </c>
      <c r="D98" s="185" t="str">
        <f t="array" ref="D98">IFNA(VLOOKUP(B98,{'DATA DE CONTROLES Y LLAVES'!I$6:I1000,'DATA DE CONTROLES Y LLAVES'!G$6:G1000},2,FALSE),"")</f>
        <v>GONZÁLEZ</v>
      </c>
      <c r="E98" s="53" t="s">
        <v>47</v>
      </c>
      <c r="F98" s="187"/>
      <c r="G98" s="187"/>
    </row>
    <row r="99">
      <c r="B99" s="188" t="s">
        <v>1438</v>
      </c>
      <c r="C99" s="185" t="str">
        <f t="array" ref="C99">IFNA(VLOOKUP(B99,{'DATA DE CONTROLES Y LLAVES'!I$6:I1000,'DATA DE CONTROLES Y LLAVES'!F$6:F1000},2,FALSE),"")</f>
        <v/>
      </c>
      <c r="D99" s="185" t="str">
        <f t="array" ref="D99">IFNA(VLOOKUP(B99,{'DATA DE CONTROLES Y LLAVES'!I$6:I1000,'DATA DE CONTROLES Y LLAVES'!G$6:G1000},2,FALSE),"")</f>
        <v/>
      </c>
      <c r="E99" s="53" t="s">
        <v>47</v>
      </c>
      <c r="F99" s="187"/>
      <c r="G99" s="187"/>
    </row>
    <row r="100">
      <c r="B100" s="188" t="s">
        <v>1439</v>
      </c>
      <c r="C100" s="185" t="str">
        <f t="array" ref="C100">IFNA(VLOOKUP(B100,{'DATA DE CONTROLES Y LLAVES'!I$6:I1000,'DATA DE CONTROLES Y LLAVES'!F$6:F1000},2,FALSE),"")</f>
        <v>AMARILIS</v>
      </c>
      <c r="D100" s="185" t="str">
        <f t="array" ref="D100">IFNA(VLOOKUP(B100,{'DATA DE CONTROLES Y LLAVES'!I$6:I1000,'DATA DE CONTROLES Y LLAVES'!G$6:G1000},2,FALSE),"")</f>
        <v>GUTIÉRREZ</v>
      </c>
      <c r="E100" s="53" t="s">
        <v>22</v>
      </c>
      <c r="F100" s="187"/>
      <c r="G100" s="187"/>
    </row>
    <row r="101">
      <c r="B101" s="188" t="s">
        <v>1440</v>
      </c>
      <c r="C101" s="185" t="str">
        <f t="array" ref="C101">IFNA(VLOOKUP(B101,{'DATA DE CONTROLES Y LLAVES'!I$6:I1000,'DATA DE CONTROLES Y LLAVES'!F$6:F1000},2,FALSE),"")</f>
        <v>FELICIA</v>
      </c>
      <c r="D101" s="185" t="str">
        <f t="array" ref="D101">IFNA(VLOOKUP(B101,{'DATA DE CONTROLES Y LLAVES'!I$6:I1000,'DATA DE CONTROLES Y LLAVES'!G$6:G1000},2,FALSE),"")</f>
        <v>LUGO</v>
      </c>
      <c r="E101" s="53" t="s">
        <v>47</v>
      </c>
      <c r="F101" s="187"/>
      <c r="G101" s="187"/>
    </row>
    <row r="102">
      <c r="B102" s="188" t="s">
        <v>1441</v>
      </c>
      <c r="C102" s="185" t="str">
        <f t="array" ref="C102">IFNA(VLOOKUP(B102,{'DATA DE CONTROLES Y LLAVES'!I$6:I1000,'DATA DE CONTROLES Y LLAVES'!F$6:F1000},2,FALSE),"")</f>
        <v>IRIS</v>
      </c>
      <c r="D102" s="185" t="str">
        <f t="array" ref="D102">IFNA(VLOOKUP(B102,{'DATA DE CONTROLES Y LLAVES'!I$6:I1000,'DATA DE CONTROLES Y LLAVES'!G$6:G1000},2,FALSE),"")</f>
        <v>GASSETTE</v>
      </c>
      <c r="E102" s="53" t="s">
        <v>22</v>
      </c>
      <c r="F102" s="187"/>
      <c r="G102" s="187"/>
    </row>
    <row r="103">
      <c r="B103" s="188" t="s">
        <v>1442</v>
      </c>
      <c r="C103" s="185" t="str">
        <f t="array" ref="C103">IFNA(VLOOKUP(B103,{'DATA DE CONTROLES Y LLAVES'!I$6:I1000,'DATA DE CONTROLES Y LLAVES'!F$6:F1000},2,FALSE),"")</f>
        <v>OMAIRA</v>
      </c>
      <c r="D103" s="185" t="str">
        <f t="array" ref="D103">IFNA(VLOOKUP(B103,{'DATA DE CONTROLES Y LLAVES'!I$6:I1000,'DATA DE CONTROLES Y LLAVES'!G$6:G1000},2,FALSE),"")</f>
        <v>AMUNDARAY</v>
      </c>
      <c r="E103" s="53" t="s">
        <v>22</v>
      </c>
      <c r="F103" s="187"/>
      <c r="G103" s="187"/>
    </row>
    <row r="104">
      <c r="B104" s="188" t="s">
        <v>1443</v>
      </c>
      <c r="C104" s="185" t="str">
        <f t="array" ref="C104">IFNA(VLOOKUP(B104,{'DATA DE CONTROLES Y LLAVES'!I$6:I1000,'DATA DE CONTROLES Y LLAVES'!F$6:F1000},2,FALSE),"")</f>
        <v>DOUGLAS</v>
      </c>
      <c r="D104" s="185" t="str">
        <f t="array" ref="D104">IFNA(VLOOKUP(B104,{'DATA DE CONTROLES Y LLAVES'!I$6:I1000,'DATA DE CONTROLES Y LLAVES'!G$6:G1000},2,FALSE),"")</f>
        <v>TERÁN</v>
      </c>
      <c r="E104" s="53" t="s">
        <v>22</v>
      </c>
      <c r="F104" s="187"/>
      <c r="G104" s="187"/>
    </row>
    <row r="105">
      <c r="B105" s="188" t="s">
        <v>1444</v>
      </c>
      <c r="C105" s="185" t="str">
        <f t="array" ref="C105">IFNA(VLOOKUP(B105,{'DATA DE CONTROLES Y LLAVES'!I$6:I1000,'DATA DE CONTROLES Y LLAVES'!F$6:F1000},2,FALSE),"")</f>
        <v>EMMA</v>
      </c>
      <c r="D105" s="185" t="str">
        <f t="array" ref="D105">IFNA(VLOOKUP(B105,{'DATA DE CONTROLES Y LLAVES'!I$6:I1000,'DATA DE CONTROLES Y LLAVES'!G$6:G1000},2,FALSE),"")</f>
        <v>HERNÁNDEZ</v>
      </c>
      <c r="E105" s="53" t="s">
        <v>260</v>
      </c>
      <c r="F105" s="187"/>
      <c r="G105" s="187"/>
    </row>
    <row r="106">
      <c r="B106" s="188" t="s">
        <v>1445</v>
      </c>
      <c r="C106" s="185" t="str">
        <f t="array" ref="C106">IFNA(VLOOKUP(B106,{'DATA DE CONTROLES Y LLAVES'!I$6:I1000,'DATA DE CONTROLES Y LLAVES'!F$6:F1000},2,FALSE),"")</f>
        <v>Dyana</v>
      </c>
      <c r="D106" s="185" t="str">
        <f t="array" ref="D106">IFNA(VLOOKUP(B106,{'DATA DE CONTROLES Y LLAVES'!I$6:I1000,'DATA DE CONTROLES Y LLAVES'!G$6:G1000},2,FALSE),"")</f>
        <v>Mendez</v>
      </c>
      <c r="E106" s="53" t="s">
        <v>22</v>
      </c>
      <c r="F106" s="187"/>
      <c r="G106" s="187"/>
    </row>
    <row r="107">
      <c r="B107" s="188" t="s">
        <v>1446</v>
      </c>
      <c r="C107" s="185" t="str">
        <f t="array" ref="C107">IFNA(VLOOKUP(B107,{'DATA DE CONTROLES Y LLAVES'!I$6:I1000,'DATA DE CONTROLES Y LLAVES'!F$6:F1000},2,FALSE),"")</f>
        <v>ALEXANDER</v>
      </c>
      <c r="D107" s="185" t="str">
        <f t="array" ref="D107">IFNA(VLOOKUP(B107,{'DATA DE CONTROLES Y LLAVES'!I$6:I1000,'DATA DE CONTROLES Y LLAVES'!G$6:G1000},2,FALSE),"")</f>
        <v>GÓMEZ</v>
      </c>
      <c r="E107" s="53" t="s">
        <v>22</v>
      </c>
      <c r="F107" s="187"/>
      <c r="G107" s="187"/>
    </row>
    <row r="108">
      <c r="B108" s="188" t="s">
        <v>1447</v>
      </c>
      <c r="C108" s="185" t="str">
        <f t="array" ref="C108">IFNA(VLOOKUP(B108,{'DATA DE CONTROLES Y LLAVES'!I$6:I1000,'DATA DE CONTROLES Y LLAVES'!F$6:F1000},2,FALSE),"")</f>
        <v>DANIEL</v>
      </c>
      <c r="D108" s="185" t="str">
        <f t="array" ref="D108">IFNA(VLOOKUP(B108,{'DATA DE CONTROLES Y LLAVES'!I$6:I1000,'DATA DE CONTROLES Y LLAVES'!G$6:G1000},2,FALSE),"")</f>
        <v>YANEZ </v>
      </c>
      <c r="E108" s="53" t="s">
        <v>22</v>
      </c>
      <c r="F108" s="187"/>
      <c r="G108" s="187"/>
    </row>
    <row r="109">
      <c r="B109" s="188" t="s">
        <v>1448</v>
      </c>
      <c r="C109" s="185" t="str">
        <f t="array" ref="C109">IFNA(VLOOKUP(B109,{'DATA DE CONTROLES Y LLAVES'!I$6:I1000,'DATA DE CONTROLES Y LLAVES'!F$6:F1000},2,FALSE),"")</f>
        <v/>
      </c>
      <c r="D109" s="185" t="str">
        <f t="array" ref="D109">IFNA(VLOOKUP(B109,{'DATA DE CONTROLES Y LLAVES'!I$6:I1000,'DATA DE CONTROLES Y LLAVES'!G$6:G1000},2,FALSE),"")</f>
        <v/>
      </c>
      <c r="E109" s="53" t="s">
        <v>22</v>
      </c>
      <c r="F109" s="187"/>
      <c r="G109" s="187"/>
    </row>
    <row r="110">
      <c r="B110" s="188" t="s">
        <v>1449</v>
      </c>
      <c r="C110" s="185" t="str">
        <f t="array" ref="C110">IFNA(VLOOKUP(B110,{'DATA DE CONTROLES Y LLAVES'!I$6:I1000,'DATA DE CONTROLES Y LLAVES'!F$6:F1000},2,FALSE),"")</f>
        <v>HÉCTOR</v>
      </c>
      <c r="D110" s="185" t="str">
        <f t="array" ref="D110">IFNA(VLOOKUP(B110,{'DATA DE CONTROLES Y LLAVES'!I$6:I1000,'DATA DE CONTROLES Y LLAVES'!G$6:G1000},2,FALSE),"")</f>
        <v>URDANETA</v>
      </c>
      <c r="E110" s="53" t="s">
        <v>22</v>
      </c>
      <c r="F110" s="187"/>
      <c r="G110" s="187"/>
    </row>
    <row r="111">
      <c r="B111" s="188" t="s">
        <v>1450</v>
      </c>
      <c r="C111" s="185" t="str">
        <f t="array" ref="C111">IFNA(VLOOKUP(B111,{'DATA DE CONTROLES Y LLAVES'!I$6:I1000,'DATA DE CONTROLES Y LLAVES'!F$6:F1000},2,FALSE),"")</f>
        <v>MARIÚ</v>
      </c>
      <c r="D111" s="185" t="str">
        <f t="array" ref="D111">IFNA(VLOOKUP(B111,{'DATA DE CONTROLES Y LLAVES'!I$6:I1000,'DATA DE CONTROLES Y LLAVES'!G$6:G1000},2,FALSE),"")</f>
        <v>OVIEDO</v>
      </c>
      <c r="E111" s="53" t="s">
        <v>22</v>
      </c>
      <c r="F111" s="187"/>
      <c r="G111" s="187"/>
    </row>
    <row r="112">
      <c r="B112" s="188" t="s">
        <v>1451</v>
      </c>
      <c r="C112" s="185" t="str">
        <f t="array" ref="C112">IFNA(VLOOKUP(B112,{'DATA DE CONTROLES Y LLAVES'!I$6:I1000,'DATA DE CONTROLES Y LLAVES'!F$6:F1000},2,FALSE),"")</f>
        <v>OLGA</v>
      </c>
      <c r="D112" s="185" t="str">
        <f t="array" ref="D112">IFNA(VLOOKUP(B112,{'DATA DE CONTROLES Y LLAVES'!I$6:I1000,'DATA DE CONTROLES Y LLAVES'!G$6:G1000},2,FALSE),"")</f>
        <v>GONZÁLEZ</v>
      </c>
      <c r="E112" s="53" t="s">
        <v>22</v>
      </c>
      <c r="F112" s="187"/>
      <c r="G112" s="187"/>
    </row>
    <row r="113">
      <c r="B113" s="188" t="s">
        <v>1452</v>
      </c>
      <c r="C113" s="185" t="str">
        <f t="array" ref="C113">IFNA(VLOOKUP(B113,{'DATA DE CONTROLES Y LLAVES'!I$6:I1000,'DATA DE CONTROLES Y LLAVES'!F$6:F1000},2,FALSE),"")</f>
        <v>ELIZABETH</v>
      </c>
      <c r="D113" s="185" t="str">
        <f t="array" ref="D113">IFNA(VLOOKUP(B113,{'DATA DE CONTROLES Y LLAVES'!I$6:I1000,'DATA DE CONTROLES Y LLAVES'!G$6:G1000},2,FALSE),"")</f>
        <v>MOCÓ</v>
      </c>
      <c r="E113" s="53" t="s">
        <v>47</v>
      </c>
      <c r="F113" s="187"/>
      <c r="G113" s="187"/>
    </row>
    <row r="114">
      <c r="B114" s="188" t="s">
        <v>1453</v>
      </c>
      <c r="C114" s="185" t="str">
        <f t="array" ref="C114">IFNA(VLOOKUP(B114,{'DATA DE CONTROLES Y LLAVES'!I$6:I1000,'DATA DE CONTROLES Y LLAVES'!F$6:F1000},2,FALSE),"")</f>
        <v>INGIRID</v>
      </c>
      <c r="D114" s="185" t="str">
        <f t="array" ref="D114">IFNA(VLOOKUP(B114,{'DATA DE CONTROLES Y LLAVES'!I$6:I1000,'DATA DE CONTROLES Y LLAVES'!G$6:G1000},2,FALSE),"")</f>
        <v>CACERES</v>
      </c>
      <c r="E114" s="53" t="s">
        <v>47</v>
      </c>
      <c r="F114" s="187"/>
      <c r="G114" s="187"/>
    </row>
    <row r="115">
      <c r="B115" s="188" t="s">
        <v>1454</v>
      </c>
      <c r="C115" s="185" t="str">
        <f t="array" ref="C115">IFNA(VLOOKUP(B115,{'DATA DE CONTROLES Y LLAVES'!I$6:I1000,'DATA DE CONTROLES Y LLAVES'!F$6:F1000},2,FALSE),"")</f>
        <v>WILFREDO</v>
      </c>
      <c r="D115" s="185" t="str">
        <f t="array" ref="D115">IFNA(VLOOKUP(B115,{'DATA DE CONTROLES Y LLAVES'!I$6:I1000,'DATA DE CONTROLES Y LLAVES'!G$6:G1000},2,FALSE),"")</f>
        <v>TOVAR</v>
      </c>
      <c r="E115" s="53" t="s">
        <v>22</v>
      </c>
      <c r="F115" s="187"/>
      <c r="G115" s="187"/>
    </row>
    <row r="116">
      <c r="B116" s="188" t="s">
        <v>1455</v>
      </c>
      <c r="C116" s="185" t="str">
        <f t="array" ref="C116">IFNA(VLOOKUP(B116,{'DATA DE CONTROLES Y LLAVES'!I$6:I1000,'DATA DE CONTROLES Y LLAVES'!F$6:F1000},2,FALSE),"")</f>
        <v>JUAN CARLOS</v>
      </c>
      <c r="D116" s="185" t="str">
        <f t="array" ref="D116">IFNA(VLOOKUP(B116,{'DATA DE CONTROLES Y LLAVES'!I$6:I1000,'DATA DE CONTROLES Y LLAVES'!G$6:G1000},2,FALSE),"")</f>
        <v>IBARRA</v>
      </c>
      <c r="E116" s="53" t="s">
        <v>47</v>
      </c>
      <c r="F116" s="187"/>
      <c r="G116" s="187"/>
    </row>
    <row r="117">
      <c r="B117" s="188" t="s">
        <v>1456</v>
      </c>
      <c r="C117" s="185" t="str">
        <f t="array" ref="C117">IFNA(VLOOKUP(B117,{'DATA DE CONTROLES Y LLAVES'!I$6:I1000,'DATA DE CONTROLES Y LLAVES'!F$6:F1000},2,FALSE),"")</f>
        <v>VINCENCIO</v>
      </c>
      <c r="D117" s="185" t="str">
        <f t="array" ref="D117">IFNA(VLOOKUP(B117,{'DATA DE CONTROLES Y LLAVES'!I$6:I1000,'DATA DE CONTROLES Y LLAVES'!G$6:G1000},2,FALSE),"")</f>
        <v>BIANCO</v>
      </c>
      <c r="E117" s="53" t="s">
        <v>22</v>
      </c>
      <c r="F117" s="187"/>
      <c r="G117" s="187"/>
    </row>
    <row r="118">
      <c r="B118" s="188" t="s">
        <v>1457</v>
      </c>
      <c r="C118" s="185" t="str">
        <f t="array" ref="C118">IFNA(VLOOKUP(B118,{'DATA DE CONTROLES Y LLAVES'!I$6:I1000,'DATA DE CONTROLES Y LLAVES'!F$6:F1000},2,FALSE),"")</f>
        <v>JENNY</v>
      </c>
      <c r="D118" s="185" t="str">
        <f t="array" ref="D118">IFNA(VLOOKUP(B118,{'DATA DE CONTROLES Y LLAVES'!I$6:I1000,'DATA DE CONTROLES Y LLAVES'!G$6:G1000},2,FALSE),"")</f>
        <v>SEIJA</v>
      </c>
      <c r="E118" s="53" t="s">
        <v>22</v>
      </c>
      <c r="F118" s="187"/>
      <c r="G118" s="187"/>
    </row>
    <row r="119">
      <c r="B119" s="188" t="s">
        <v>1458</v>
      </c>
      <c r="C119" s="185" t="str">
        <f t="array" ref="C119">IFNA(VLOOKUP(B119,{'DATA DE CONTROLES Y LLAVES'!I$6:I1000,'DATA DE CONTROLES Y LLAVES'!F$6:F1000},2,FALSE),"")</f>
        <v>ZULEIMA</v>
      </c>
      <c r="D119" s="185" t="str">
        <f t="array" ref="D119">IFNA(VLOOKUP(B119,{'DATA DE CONTROLES Y LLAVES'!I$6:I1000,'DATA DE CONTROLES Y LLAVES'!G$6:G1000},2,FALSE),"")</f>
        <v>SEIJA</v>
      </c>
      <c r="E119" s="53" t="s">
        <v>22</v>
      </c>
      <c r="F119" s="187"/>
      <c r="G119" s="187"/>
    </row>
    <row r="120">
      <c r="B120" s="188" t="s">
        <v>1459</v>
      </c>
      <c r="C120" s="185" t="str">
        <f t="array" ref="C120">IFNA(VLOOKUP(B120,{'DATA DE CONTROLES Y LLAVES'!I$6:I1000,'DATA DE CONTROLES Y LLAVES'!F$6:F1000},2,FALSE),"")</f>
        <v>GLENDA</v>
      </c>
      <c r="D120" s="185" t="str">
        <f t="array" ref="D120">IFNA(VLOOKUP(B120,{'DATA DE CONTROLES Y LLAVES'!I$6:I1000,'DATA DE CONTROLES Y LLAVES'!G$6:G1000},2,FALSE),"")</f>
        <v>AGÜERO</v>
      </c>
      <c r="E120" s="53" t="s">
        <v>22</v>
      </c>
      <c r="F120" s="187"/>
      <c r="G120" s="187"/>
    </row>
    <row r="121">
      <c r="B121" s="188" t="s">
        <v>1460</v>
      </c>
      <c r="C121" s="185" t="str">
        <f t="array" ref="C121">IFNA(VLOOKUP(B121,{'DATA DE CONTROLES Y LLAVES'!I$6:I1000,'DATA DE CONTROLES Y LLAVES'!F$6:F1000},2,FALSE),"")</f>
        <v>MIREYA</v>
      </c>
      <c r="D121" s="185" t="str">
        <f t="array" ref="D121">IFNA(VLOOKUP(B121,{'DATA DE CONTROLES Y LLAVES'!I$6:I1000,'DATA DE CONTROLES Y LLAVES'!G$6:G1000},2,FALSE),"")</f>
        <v>PUERTAS</v>
      </c>
      <c r="E121" s="53" t="s">
        <v>22</v>
      </c>
      <c r="F121" s="187"/>
      <c r="G121" s="187"/>
    </row>
    <row r="122">
      <c r="B122" s="188" t="s">
        <v>1461</v>
      </c>
      <c r="C122" s="185" t="str">
        <f t="array" ref="C122">IFNA(VLOOKUP(B122,{'DATA DE CONTROLES Y LLAVES'!I$6:I1000,'DATA DE CONTROLES Y LLAVES'!F$6:F1000},2,FALSE),"")</f>
        <v>LUISA</v>
      </c>
      <c r="D122" s="185" t="str">
        <f t="array" ref="D122">IFNA(VLOOKUP(B122,{'DATA DE CONTROLES Y LLAVES'!I$6:I1000,'DATA DE CONTROLES Y LLAVES'!G$6:G1000},2,FALSE),"")</f>
        <v>ZORRILLA</v>
      </c>
      <c r="E122" s="53" t="s">
        <v>22</v>
      </c>
      <c r="F122" s="187"/>
      <c r="G122" s="187"/>
    </row>
    <row r="123">
      <c r="B123" s="188" t="s">
        <v>1462</v>
      </c>
      <c r="C123" s="185" t="str">
        <f t="array" ref="C123">IFNA(VLOOKUP(B123,{'DATA DE CONTROLES Y LLAVES'!I$6:I1000,'DATA DE CONTROLES Y LLAVES'!F$6:F1000},2,FALSE),"")</f>
        <v>LEONARDO </v>
      </c>
      <c r="D123" s="185" t="str">
        <f t="array" ref="D123">IFNA(VLOOKUP(B123,{'DATA DE CONTROLES Y LLAVES'!I$6:I1000,'DATA DE CONTROLES Y LLAVES'!G$6:G1000},2,FALSE),"")</f>
        <v>ROA</v>
      </c>
      <c r="E123" s="53" t="s">
        <v>22</v>
      </c>
      <c r="F123" s="187"/>
      <c r="G123" s="187"/>
    </row>
    <row r="124">
      <c r="B124" s="188" t="s">
        <v>1463</v>
      </c>
      <c r="C124" s="185" t="str">
        <f t="array" ref="C124">IFNA(VLOOKUP(B124,{'DATA DE CONTROLES Y LLAVES'!I$6:I1000,'DATA DE CONTROLES Y LLAVES'!F$6:F1000},2,FALSE),"")</f>
        <v>liduvina </v>
      </c>
      <c r="D124" s="185" t="str">
        <f t="array" ref="D124">IFNA(VLOOKUP(B124,{'DATA DE CONTROLES Y LLAVES'!I$6:I1000,'DATA DE CONTROLES Y LLAVES'!G$6:G1000},2,FALSE),"")</f>
        <v/>
      </c>
      <c r="E124" s="53" t="s">
        <v>260</v>
      </c>
      <c r="F124" s="187"/>
      <c r="G124" s="187"/>
    </row>
    <row r="125">
      <c r="B125" s="188" t="s">
        <v>1464</v>
      </c>
      <c r="C125" s="185" t="str">
        <f t="array" ref="C125">IFNA(VLOOKUP(B125,{'DATA DE CONTROLES Y LLAVES'!I$6:I1000,'DATA DE CONTROLES Y LLAVES'!F$6:F1000},2,FALSE),"")</f>
        <v>HÉCTOR</v>
      </c>
      <c r="D125" s="185" t="str">
        <f t="array" ref="D125">IFNA(VLOOKUP(B125,{'DATA DE CONTROLES Y LLAVES'!I$6:I1000,'DATA DE CONTROLES Y LLAVES'!G$6:G1000},2,FALSE),"")</f>
        <v>PÉREZ</v>
      </c>
      <c r="E125" s="53" t="s">
        <v>47</v>
      </c>
      <c r="F125" s="187"/>
      <c r="G125" s="187"/>
    </row>
    <row r="126">
      <c r="B126" s="188" t="s">
        <v>1465</v>
      </c>
      <c r="C126" s="185" t="str">
        <f t="array" ref="C126">IFNA(VLOOKUP(B126,{'DATA DE CONTROLES Y LLAVES'!I$6:I1000,'DATA DE CONTROLES Y LLAVES'!F$6:F1000},2,FALSE),"")</f>
        <v/>
      </c>
      <c r="D126" s="185" t="str">
        <f t="array" ref="D126">IFNA(VLOOKUP(B126,{'DATA DE CONTROLES Y LLAVES'!I$6:I1000,'DATA DE CONTROLES Y LLAVES'!G$6:G1000},2,FALSE),"")</f>
        <v/>
      </c>
      <c r="E126" s="53" t="s">
        <v>22</v>
      </c>
      <c r="F126" s="187"/>
      <c r="G126" s="187"/>
    </row>
    <row r="127">
      <c r="B127" s="188" t="s">
        <v>1466</v>
      </c>
      <c r="C127" s="185" t="str">
        <f t="array" ref="C127">IFNA(VLOOKUP(B127,{'DATA DE CONTROLES Y LLAVES'!I$6:I1000,'DATA DE CONTROLES Y LLAVES'!F$6:F1000},2,FALSE),"")</f>
        <v>MARY</v>
      </c>
      <c r="D127" s="185" t="str">
        <f t="array" ref="D127">IFNA(VLOOKUP(B127,{'DATA DE CONTROLES Y LLAVES'!I$6:I1000,'DATA DE CONTROLES Y LLAVES'!G$6:G1000},2,FALSE),"")</f>
        <v>OLIVIER</v>
      </c>
      <c r="E127" s="53" t="s">
        <v>22</v>
      </c>
      <c r="F127" s="187"/>
      <c r="G127" s="187"/>
    </row>
    <row r="128">
      <c r="B128" s="188" t="s">
        <v>1467</v>
      </c>
      <c r="C128" s="185" t="str">
        <f t="array" ref="C128">IFNA(VLOOKUP(B128,{'DATA DE CONTROLES Y LLAVES'!I$6:I1000,'DATA DE CONTROLES Y LLAVES'!F$6:F1000},2,FALSE),"")</f>
        <v>ANA KARINA</v>
      </c>
      <c r="D128" s="185" t="str">
        <f t="array" ref="D128">IFNA(VLOOKUP(B128,{'DATA DE CONTROLES Y LLAVES'!I$6:I1000,'DATA DE CONTROLES Y LLAVES'!G$6:G1000},2,FALSE),"")</f>
        <v>SUCRE</v>
      </c>
      <c r="E128" s="53" t="s">
        <v>22</v>
      </c>
      <c r="F128" s="187"/>
      <c r="G128" s="187"/>
    </row>
    <row r="129">
      <c r="B129" s="188" t="s">
        <v>1468</v>
      </c>
      <c r="C129" s="185" t="str">
        <f t="array" ref="C129">IFNA(VLOOKUP(B129,{'DATA DE CONTROLES Y LLAVES'!I$6:I1000,'DATA DE CONTROLES Y LLAVES'!F$6:F1000},2,FALSE),"")</f>
        <v/>
      </c>
      <c r="D129" s="185" t="str">
        <f t="array" ref="D129">IFNA(VLOOKUP(B129,{'DATA DE CONTROLES Y LLAVES'!I$6:I1000,'DATA DE CONTROLES Y LLAVES'!G$6:G1000},2,FALSE),"")</f>
        <v/>
      </c>
      <c r="E129" s="53" t="s">
        <v>22</v>
      </c>
      <c r="F129" s="187"/>
      <c r="G129" s="187"/>
    </row>
    <row r="130">
      <c r="B130" s="188" t="s">
        <v>1469</v>
      </c>
      <c r="C130" s="185" t="str">
        <f t="array" ref="C130">IFNA(VLOOKUP(B130,{'DATA DE CONTROLES Y LLAVES'!I$6:I1000,'DATA DE CONTROLES Y LLAVES'!F$6:F1000},2,FALSE),"")</f>
        <v>MARY</v>
      </c>
      <c r="D130" s="185" t="str">
        <f t="array" ref="D130">IFNA(VLOOKUP(B130,{'DATA DE CONTROLES Y LLAVES'!I$6:I1000,'DATA DE CONTROLES Y LLAVES'!G$6:G1000},2,FALSE),"")</f>
        <v>ELÍSEO</v>
      </c>
      <c r="E130" s="53" t="s">
        <v>22</v>
      </c>
      <c r="F130" s="187"/>
      <c r="G130" s="187"/>
    </row>
    <row r="131">
      <c r="B131" s="188" t="s">
        <v>1470</v>
      </c>
      <c r="C131" s="185" t="str">
        <f t="array" ref="C131">IFNA(VLOOKUP(B131,{'DATA DE CONTROLES Y LLAVES'!I$6:I1000,'DATA DE CONTROLES Y LLAVES'!F$6:F1000},2,FALSE),"")</f>
        <v>ALEXANDER</v>
      </c>
      <c r="D131" s="185" t="str">
        <f t="array" ref="D131">IFNA(VLOOKUP(B131,{'DATA DE CONTROLES Y LLAVES'!I$6:I1000,'DATA DE CONTROLES Y LLAVES'!G$6:G1000},2,FALSE),"")</f>
        <v>ESCALANTE</v>
      </c>
      <c r="E131" s="53" t="s">
        <v>47</v>
      </c>
      <c r="F131" s="187"/>
      <c r="G131" s="187"/>
    </row>
    <row r="132">
      <c r="B132" s="188" t="s">
        <v>1471</v>
      </c>
      <c r="C132" s="185" t="str">
        <f t="array" ref="C132">IFNA(VLOOKUP(B132,{'DATA DE CONTROLES Y LLAVES'!I$6:I1000,'DATA DE CONTROLES Y LLAVES'!F$6:F1000},2,FALSE),"")</f>
        <v/>
      </c>
      <c r="D132" s="185" t="str">
        <f t="array" ref="D132">IFNA(VLOOKUP(B132,{'DATA DE CONTROLES Y LLAVES'!I$6:I1000,'DATA DE CONTROLES Y LLAVES'!G$6:G1000},2,FALSE),"")</f>
        <v/>
      </c>
      <c r="E132" s="53" t="s">
        <v>22</v>
      </c>
      <c r="F132" s="187"/>
      <c r="G132" s="187"/>
    </row>
    <row r="133">
      <c r="B133" s="188" t="s">
        <v>1472</v>
      </c>
      <c r="C133" s="185" t="str">
        <f t="array" ref="C133">IFNA(VLOOKUP(B133,{'DATA DE CONTROLES Y LLAVES'!I$6:I1000,'DATA DE CONTROLES Y LLAVES'!F$6:F1000},2,FALSE),"")</f>
        <v>CARLOS </v>
      </c>
      <c r="D133" s="185" t="str">
        <f t="array" ref="D133">IFNA(VLOOKUP(B133,{'DATA DE CONTROLES Y LLAVES'!I$6:I1000,'DATA DE CONTROLES Y LLAVES'!G$6:G1000},2,FALSE),"")</f>
        <v>ALVARADO</v>
      </c>
      <c r="E133" s="53" t="s">
        <v>22</v>
      </c>
      <c r="F133" s="187"/>
      <c r="G133" s="187"/>
    </row>
    <row r="134">
      <c r="B134" s="188" t="s">
        <v>1473</v>
      </c>
      <c r="C134" s="185" t="str">
        <f t="array" ref="C134">IFNA(VLOOKUP(B134,{'DATA DE CONTROLES Y LLAVES'!I$6:I1000,'DATA DE CONTROLES Y LLAVES'!F$6:F1000},2,FALSE),"")</f>
        <v>ROBERTO</v>
      </c>
      <c r="D134" s="185" t="str">
        <f t="array" ref="D134">IFNA(VLOOKUP(B134,{'DATA DE CONTROLES Y LLAVES'!I$6:I1000,'DATA DE CONTROLES Y LLAVES'!G$6:G1000},2,FALSE),"")</f>
        <v>ALARCÓN</v>
      </c>
      <c r="E134" s="53" t="s">
        <v>22</v>
      </c>
      <c r="F134" s="187"/>
      <c r="G134" s="187"/>
    </row>
    <row r="135">
      <c r="B135" s="188" t="s">
        <v>1474</v>
      </c>
      <c r="C135" s="185" t="str">
        <f t="array" ref="C135">IFNA(VLOOKUP(B135,{'DATA DE CONTROLES Y LLAVES'!I$6:I1000,'DATA DE CONTROLES Y LLAVES'!F$6:F1000},2,FALSE),"")</f>
        <v>PABLO</v>
      </c>
      <c r="D135" s="185" t="str">
        <f t="array" ref="D135">IFNA(VLOOKUP(B135,{'DATA DE CONTROLES Y LLAVES'!I$6:I1000,'DATA DE CONTROLES Y LLAVES'!G$6:G1000},2,FALSE),"")</f>
        <v>GARMENDIA</v>
      </c>
      <c r="E135" s="53" t="s">
        <v>47</v>
      </c>
      <c r="F135" s="187"/>
      <c r="G135" s="187"/>
    </row>
    <row r="136">
      <c r="B136" s="188" t="s">
        <v>1475</v>
      </c>
      <c r="C136" s="185" t="str">
        <f t="array" ref="C136">IFNA(VLOOKUP(B136,{'DATA DE CONTROLES Y LLAVES'!I$6:I1000,'DATA DE CONTROLES Y LLAVES'!F$6:F1000},2,FALSE),"")</f>
        <v> BERNE</v>
      </c>
      <c r="D136" s="185" t="str">
        <f t="array" ref="D136">IFNA(VLOOKUP(B136,{'DATA DE CONTROLES Y LLAVES'!I$6:I1000,'DATA DE CONTROLES Y LLAVES'!G$6:G1000},2,FALSE),"")</f>
        <v>VIVAS</v>
      </c>
      <c r="E136" s="53" t="s">
        <v>260</v>
      </c>
      <c r="F136" s="187"/>
      <c r="G136" s="187"/>
    </row>
    <row r="137">
      <c r="B137" s="188" t="s">
        <v>1476</v>
      </c>
      <c r="C137" s="185" t="str">
        <f t="array" ref="C137">IFNA(VLOOKUP(B137,{'DATA DE CONTROLES Y LLAVES'!I$6:I1000,'DATA DE CONTROLES Y LLAVES'!F$6:F1000},2,FALSE),"")</f>
        <v>AILIN</v>
      </c>
      <c r="D137" s="185" t="str">
        <f t="array" ref="D137">IFNA(VLOOKUP(B137,{'DATA DE CONTROLES Y LLAVES'!I$6:I1000,'DATA DE CONTROLES Y LLAVES'!G$6:G1000},2,FALSE),"")</f>
        <v>RODRÍGUEZ</v>
      </c>
      <c r="E137" s="53" t="s">
        <v>47</v>
      </c>
      <c r="F137" s="187"/>
      <c r="G137" s="187"/>
    </row>
    <row r="138">
      <c r="B138" s="188" t="s">
        <v>1477</v>
      </c>
      <c r="C138" s="185" t="str">
        <f t="array" ref="C138">IFNA(VLOOKUP(B138,{'DATA DE CONTROLES Y LLAVES'!I$6:I1000,'DATA DE CONTROLES Y LLAVES'!F$6:F1000},2,FALSE),"")</f>
        <v/>
      </c>
      <c r="D138" s="185" t="str">
        <f t="array" ref="D138">IFNA(VLOOKUP(B138,{'DATA DE CONTROLES Y LLAVES'!I$6:I1000,'DATA DE CONTROLES Y LLAVES'!G$6:G1000},2,FALSE),"")</f>
        <v/>
      </c>
      <c r="E138" s="53" t="s">
        <v>47</v>
      </c>
      <c r="F138" s="187"/>
      <c r="G138" s="187"/>
    </row>
    <row r="139">
      <c r="B139" s="188" t="s">
        <v>1478</v>
      </c>
      <c r="C139" s="185" t="str">
        <f t="array" ref="C139">IFNA(VLOOKUP(B139,{'DATA DE CONTROLES Y LLAVES'!I$6:I1000,'DATA DE CONTROLES Y LLAVES'!F$6:F1000},2,FALSE),"")</f>
        <v/>
      </c>
      <c r="D139" s="185" t="str">
        <f t="array" ref="D139">IFNA(VLOOKUP(B139,{'DATA DE CONTROLES Y LLAVES'!I$6:I1000,'DATA DE CONTROLES Y LLAVES'!G$6:G1000},2,FALSE),"")</f>
        <v/>
      </c>
      <c r="E139" s="53" t="s">
        <v>47</v>
      </c>
      <c r="F139" s="187"/>
      <c r="G139" s="187"/>
    </row>
    <row r="140">
      <c r="B140" s="188" t="s">
        <v>1479</v>
      </c>
      <c r="C140" s="185" t="str">
        <f t="array" ref="C140">IFNA(VLOOKUP(B140,{'DATA DE CONTROLES Y LLAVES'!I$6:I1000,'DATA DE CONTROLES Y LLAVES'!F$6:F1000},2,FALSE),"")</f>
        <v>CARLOS</v>
      </c>
      <c r="D140" s="185" t="str">
        <f t="array" ref="D140">IFNA(VLOOKUP(B140,{'DATA DE CONTROLES Y LLAVES'!I$6:I1000,'DATA DE CONTROLES Y LLAVES'!G$6:G1000},2,FALSE),"")</f>
        <v>DÍAZ</v>
      </c>
      <c r="E140" s="53" t="s">
        <v>47</v>
      </c>
      <c r="F140" s="187"/>
      <c r="G140" s="187"/>
    </row>
    <row r="141">
      <c r="B141" s="188" t="s">
        <v>1480</v>
      </c>
      <c r="C141" s="185" t="str">
        <f t="array" ref="C141">IFNA(VLOOKUP(B141,{'DATA DE CONTROLES Y LLAVES'!I$6:I1000,'DATA DE CONTROLES Y LLAVES'!F$6:F1000},2,FALSE),"")</f>
        <v>Daniela </v>
      </c>
      <c r="D141" s="185" t="str">
        <f t="array" ref="D141">IFNA(VLOOKUP(B141,{'DATA DE CONTROLES Y LLAVES'!I$6:I1000,'DATA DE CONTROLES Y LLAVES'!G$6:G1000},2,FALSE),"")</f>
        <v>Duno</v>
      </c>
      <c r="E141" s="53" t="s">
        <v>22</v>
      </c>
      <c r="F141" s="187"/>
      <c r="G141" s="187"/>
    </row>
    <row r="142">
      <c r="B142" s="188" t="s">
        <v>1481</v>
      </c>
      <c r="C142" s="185" t="str">
        <f t="array" ref="C142">IFNA(VLOOKUP(B142,{'DATA DE CONTROLES Y LLAVES'!I$6:I1000,'DATA DE CONTROLES Y LLAVES'!F$6:F1000},2,FALSE),"")</f>
        <v>CARLOS</v>
      </c>
      <c r="D142" s="185" t="str">
        <f t="array" ref="D142">IFNA(VLOOKUP(B142,{'DATA DE CONTROLES Y LLAVES'!I$6:I1000,'DATA DE CONTROLES Y LLAVES'!G$6:G1000},2,FALSE),"")</f>
        <v>DÍAZ</v>
      </c>
      <c r="E142" s="53" t="s">
        <v>47</v>
      </c>
      <c r="F142" s="187"/>
      <c r="G142" s="187"/>
    </row>
    <row r="143">
      <c r="B143" s="188" t="s">
        <v>1482</v>
      </c>
      <c r="C143" s="185" t="str">
        <f t="array" ref="C143">IFNA(VLOOKUP(B143,{'DATA DE CONTROLES Y LLAVES'!I$6:I1000,'DATA DE CONTROLES Y LLAVES'!F$6:F1000},2,FALSE),"")</f>
        <v>MIGUEL</v>
      </c>
      <c r="D143" s="185" t="str">
        <f t="array" ref="D143">IFNA(VLOOKUP(B143,{'DATA DE CONTROLES Y LLAVES'!I$6:I1000,'DATA DE CONTROLES Y LLAVES'!G$6:G1000},2,FALSE),"")</f>
        <v>TORRES</v>
      </c>
      <c r="E143" s="53" t="s">
        <v>87</v>
      </c>
      <c r="F143" s="187"/>
      <c r="G143" s="187"/>
    </row>
    <row r="144">
      <c r="B144" s="188" t="s">
        <v>1483</v>
      </c>
      <c r="C144" s="185" t="str">
        <f t="array" ref="C144">IFNA(VLOOKUP(B144,{'DATA DE CONTROLES Y LLAVES'!I$6:I1000,'DATA DE CONTROLES Y LLAVES'!F$6:F1000},2,FALSE),"")</f>
        <v>TEODORA </v>
      </c>
      <c r="D144" s="185" t="str">
        <f t="array" ref="D144">IFNA(VLOOKUP(B144,{'DATA DE CONTROLES Y LLAVES'!I$6:I1000,'DATA DE CONTROLES Y LLAVES'!G$6:G1000},2,FALSE),"")</f>
        <v>ESTEVES</v>
      </c>
      <c r="E144" s="53" t="s">
        <v>47</v>
      </c>
      <c r="F144" s="187"/>
      <c r="G144" s="187"/>
    </row>
    <row r="145">
      <c r="B145" s="188" t="s">
        <v>1484</v>
      </c>
      <c r="C145" s="185" t="str">
        <f t="array" ref="C145">IFNA(VLOOKUP(B145,{'DATA DE CONTROLES Y LLAVES'!I$6:I1000,'DATA DE CONTROLES Y LLAVES'!F$6:F1000},2,FALSE),"")</f>
        <v>RAFAEL</v>
      </c>
      <c r="D145" s="185" t="str">
        <f t="array" ref="D145">IFNA(VLOOKUP(B145,{'DATA DE CONTROLES Y LLAVES'!I$6:I1000,'DATA DE CONTROLES Y LLAVES'!G$6:G1000},2,FALSE),"")</f>
        <v>ACOSTA</v>
      </c>
      <c r="E145" s="53" t="s">
        <v>87</v>
      </c>
      <c r="F145" s="187"/>
      <c r="G145" s="187"/>
    </row>
    <row r="146">
      <c r="B146" s="188" t="s">
        <v>1485</v>
      </c>
      <c r="C146" s="185" t="str">
        <f t="array" ref="C146">IFNA(VLOOKUP(B146,{'DATA DE CONTROLES Y LLAVES'!I$6:I1000,'DATA DE CONTROLES Y LLAVES'!F$6:F1000},2,FALSE),"")</f>
        <v>NICOMEDES</v>
      </c>
      <c r="D146" s="185" t="str">
        <f t="array" ref="D146">IFNA(VLOOKUP(B146,{'DATA DE CONTROLES Y LLAVES'!I$6:I1000,'DATA DE CONTROLES Y LLAVES'!G$6:G1000},2,FALSE),"")</f>
        <v>CONTRERAS</v>
      </c>
      <c r="E146" s="53" t="s">
        <v>22</v>
      </c>
      <c r="F146" s="187"/>
      <c r="G146" s="187"/>
    </row>
    <row r="147">
      <c r="B147" s="188" t="s">
        <v>1486</v>
      </c>
      <c r="C147" s="185" t="str">
        <f t="array" ref="C147">IFNA(VLOOKUP(B147,{'DATA DE CONTROLES Y LLAVES'!I$6:I1000,'DATA DE CONTROLES Y LLAVES'!F$6:F1000},2,FALSE),"")</f>
        <v>ILSE (DE)</v>
      </c>
      <c r="D147" s="185" t="str">
        <f t="array" ref="D147">IFNA(VLOOKUP(B147,{'DATA DE CONTROLES Y LLAVES'!I$6:I1000,'DATA DE CONTROLES Y LLAVES'!G$6:G1000},2,FALSE),"")</f>
        <v>CONTRERAS</v>
      </c>
      <c r="E147" s="53" t="s">
        <v>22</v>
      </c>
      <c r="F147" s="187"/>
      <c r="G147" s="187"/>
    </row>
    <row r="148">
      <c r="B148" s="188" t="s">
        <v>1487</v>
      </c>
      <c r="C148" s="185" t="str">
        <f t="array" ref="C148">IFNA(VLOOKUP(B148,{'DATA DE CONTROLES Y LLAVES'!I$6:I1000,'DATA DE CONTROLES Y LLAVES'!F$6:F1000},2,FALSE),"")</f>
        <v>HÉCTOR</v>
      </c>
      <c r="D148" s="185" t="str">
        <f t="array" ref="D148">IFNA(VLOOKUP(B148,{'DATA DE CONTROLES Y LLAVES'!I$6:I1000,'DATA DE CONTROLES Y LLAVES'!G$6:G1000},2,FALSE),"")</f>
        <v>GARCÍA</v>
      </c>
      <c r="E148" s="53" t="s">
        <v>47</v>
      </c>
      <c r="F148" s="187"/>
      <c r="G148" s="187"/>
    </row>
    <row r="149">
      <c r="B149" s="188" t="s">
        <v>1488</v>
      </c>
      <c r="C149" s="185" t="str">
        <f t="array" ref="C149">IFNA(VLOOKUP(B149,{'DATA DE CONTROLES Y LLAVES'!I$6:I1000,'DATA DE CONTROLES Y LLAVES'!F$6:F1000},2,FALSE),"")</f>
        <v/>
      </c>
      <c r="D149" s="185" t="str">
        <f t="array" ref="D149">IFNA(VLOOKUP(B149,{'DATA DE CONTROLES Y LLAVES'!I$6:I1000,'DATA DE CONTROLES Y LLAVES'!G$6:G1000},2,FALSE),"")</f>
        <v/>
      </c>
      <c r="E149" s="53" t="s">
        <v>47</v>
      </c>
      <c r="F149" s="187"/>
      <c r="G149" s="187"/>
    </row>
    <row r="150">
      <c r="B150" s="188" t="s">
        <v>1489</v>
      </c>
      <c r="C150" s="185" t="str">
        <f t="array" ref="C150">IFNA(VLOOKUP(B150,{'DATA DE CONTROLES Y LLAVES'!I$6:I1000,'DATA DE CONTROLES Y LLAVES'!F$6:F1000},2,FALSE),"")</f>
        <v/>
      </c>
      <c r="D150" s="185" t="str">
        <f t="array" ref="D150">IFNA(VLOOKUP(B150,{'DATA DE CONTROLES Y LLAVES'!I$6:I1000,'DATA DE CONTROLES Y LLAVES'!G$6:G1000},2,FALSE),"")</f>
        <v/>
      </c>
      <c r="E150" s="53" t="s">
        <v>47</v>
      </c>
      <c r="F150" s="187"/>
      <c r="G150" s="187"/>
    </row>
    <row r="151">
      <c r="B151" s="188" t="s">
        <v>1490</v>
      </c>
      <c r="C151" s="185" t="str">
        <f t="array" ref="C151">IFNA(VLOOKUP(B151,{'DATA DE CONTROLES Y LLAVES'!I$6:I1000,'DATA DE CONTROLES Y LLAVES'!F$6:F1000},2,FALSE),"")</f>
        <v>MARÍA</v>
      </c>
      <c r="D151" s="185" t="str">
        <f t="array" ref="D151">IFNA(VLOOKUP(B151,{'DATA DE CONTROLES Y LLAVES'!I$6:I1000,'DATA DE CONTROLES Y LLAVES'!G$6:G1000},2,FALSE),"")</f>
        <v>MONOCHE</v>
      </c>
      <c r="E151" s="53" t="s">
        <v>47</v>
      </c>
      <c r="F151" s="187"/>
      <c r="G151" s="187"/>
    </row>
    <row r="152">
      <c r="B152" s="188" t="s">
        <v>1491</v>
      </c>
      <c r="C152" s="185" t="str">
        <f t="array" ref="C152">IFNA(VLOOKUP(B152,{'DATA DE CONTROLES Y LLAVES'!I$6:I1000,'DATA DE CONTROLES Y LLAVES'!F$6:F1000},2,FALSE),"")</f>
        <v/>
      </c>
      <c r="D152" s="185" t="str">
        <f t="array" ref="D152">IFNA(VLOOKUP(B152,{'DATA DE CONTROLES Y LLAVES'!I$6:I1000,'DATA DE CONTROLES Y LLAVES'!G$6:G1000},2,FALSE),"")</f>
        <v/>
      </c>
      <c r="E152" s="53" t="s">
        <v>22</v>
      </c>
      <c r="F152" s="187"/>
      <c r="G152" s="187"/>
    </row>
    <row r="153">
      <c r="B153" s="188" t="s">
        <v>1492</v>
      </c>
      <c r="C153" s="185" t="str">
        <f t="array" ref="C153">IFNA(VLOOKUP(B153,{'DATA DE CONTROLES Y LLAVES'!I$6:I1000,'DATA DE CONTROLES Y LLAVES'!F$6:F1000},2,FALSE),"")</f>
        <v/>
      </c>
      <c r="D153" s="185" t="str">
        <f t="array" ref="D153">IFNA(VLOOKUP(B153,{'DATA DE CONTROLES Y LLAVES'!I$6:I1000,'DATA DE CONTROLES Y LLAVES'!G$6:G1000},2,FALSE),"")</f>
        <v/>
      </c>
      <c r="E153" s="53" t="s">
        <v>47</v>
      </c>
      <c r="F153" s="187"/>
      <c r="G153" s="187"/>
    </row>
    <row r="154">
      <c r="B154" s="188" t="s">
        <v>1493</v>
      </c>
      <c r="C154" s="185" t="str">
        <f t="array" ref="C154">IFNA(VLOOKUP(B154,{'DATA DE CONTROLES Y LLAVES'!I$6:I1000,'DATA DE CONTROLES Y LLAVES'!F$6:F1000},2,FALSE),"")</f>
        <v>AROLDO</v>
      </c>
      <c r="D154" s="185" t="str">
        <f t="array" ref="D154">IFNA(VLOOKUP(B154,{'DATA DE CONTROLES Y LLAVES'!I$6:I1000,'DATA DE CONTROLES Y LLAVES'!G$6:G1000},2,FALSE),"")</f>
        <v>SUCRE</v>
      </c>
      <c r="E154" s="53" t="s">
        <v>47</v>
      </c>
      <c r="F154" s="187"/>
      <c r="G154" s="187"/>
    </row>
    <row r="155">
      <c r="B155" s="188" t="s">
        <v>1494</v>
      </c>
      <c r="C155" s="185" t="str">
        <f t="array" ref="C155">IFNA(VLOOKUP(B155,{'DATA DE CONTROLES Y LLAVES'!I$6:I1000,'DATA DE CONTROLES Y LLAVES'!F$6:F1000},2,FALSE),"")</f>
        <v>EDUARDO</v>
      </c>
      <c r="D155" s="185" t="str">
        <f t="array" ref="D155">IFNA(VLOOKUP(B155,{'DATA DE CONTROLES Y LLAVES'!I$6:I1000,'DATA DE CONTROLES Y LLAVES'!G$6:G1000},2,FALSE),"")</f>
        <v>MELO</v>
      </c>
      <c r="E155" s="53" t="s">
        <v>22</v>
      </c>
      <c r="F155" s="187"/>
      <c r="G155" s="187"/>
    </row>
    <row r="156">
      <c r="B156" s="188" t="s">
        <v>1495</v>
      </c>
      <c r="C156" s="185" t="str">
        <f t="array" ref="C156">IFNA(VLOOKUP(B156,{'DATA DE CONTROLES Y LLAVES'!I$6:I1000,'DATA DE CONTROLES Y LLAVES'!F$6:F1000},2,FALSE),"")</f>
        <v>HENRY</v>
      </c>
      <c r="D156" s="185" t="str">
        <f t="array" ref="D156">IFNA(VLOOKUP(B156,{'DATA DE CONTROLES Y LLAVES'!I$6:I1000,'DATA DE CONTROLES Y LLAVES'!G$6:G1000},2,FALSE),"")</f>
        <v>SILVA</v>
      </c>
      <c r="E156" s="53" t="s">
        <v>47</v>
      </c>
      <c r="F156" s="187"/>
      <c r="G156" s="187"/>
    </row>
    <row r="157">
      <c r="B157" s="188" t="s">
        <v>1496</v>
      </c>
      <c r="C157" s="185" t="str">
        <f t="array" ref="C157">IFNA(VLOOKUP(B157,{'DATA DE CONTROLES Y LLAVES'!I$6:I1000,'DATA DE CONTROLES Y LLAVES'!F$6:F1000},2,FALSE),"")</f>
        <v>RAMÓN</v>
      </c>
      <c r="D157" s="185" t="str">
        <f t="array" ref="D157">IFNA(VLOOKUP(B157,{'DATA DE CONTROLES Y LLAVES'!I$6:I1000,'DATA DE CONTROLES Y LLAVES'!G$6:G1000},2,FALSE),"")</f>
        <v>TERÁN</v>
      </c>
      <c r="E157" s="53" t="s">
        <v>22</v>
      </c>
      <c r="F157" s="187"/>
      <c r="G157" s="187"/>
    </row>
    <row r="158">
      <c r="B158" s="188" t="s">
        <v>1497</v>
      </c>
      <c r="C158" s="185" t="str">
        <f t="array" ref="C158">IFNA(VLOOKUP(B158,{'DATA DE CONTROLES Y LLAVES'!I$6:I1000,'DATA DE CONTROLES Y LLAVES'!F$6:F1000},2,FALSE),"")</f>
        <v>RAFAEL</v>
      </c>
      <c r="D158" s="185" t="str">
        <f t="array" ref="D158">IFNA(VLOOKUP(B158,{'DATA DE CONTROLES Y LLAVES'!I$6:I1000,'DATA DE CONTROLES Y LLAVES'!G$6:G1000},2,FALSE),"")</f>
        <v>ACOSTA</v>
      </c>
      <c r="E158" s="53" t="s">
        <v>87</v>
      </c>
      <c r="F158" s="187"/>
      <c r="G158" s="187"/>
    </row>
    <row r="159">
      <c r="B159" s="188" t="s">
        <v>1498</v>
      </c>
      <c r="C159" s="185" t="str">
        <f t="array" ref="C159">IFNA(VLOOKUP(B159,{'DATA DE CONTROLES Y LLAVES'!I$6:I1000,'DATA DE CONTROLES Y LLAVES'!F$6:F1000},2,FALSE),"")</f>
        <v>TEODORA </v>
      </c>
      <c r="D159" s="185" t="str">
        <f t="array" ref="D159">IFNA(VLOOKUP(B159,{'DATA DE CONTROLES Y LLAVES'!I$6:I1000,'DATA DE CONTROLES Y LLAVES'!G$6:G1000},2,FALSE),"")</f>
        <v>ESTEVES</v>
      </c>
      <c r="E159" s="53" t="s">
        <v>47</v>
      </c>
      <c r="F159" s="187"/>
      <c r="G159" s="187"/>
    </row>
    <row r="160">
      <c r="B160" s="188" t="s">
        <v>1499</v>
      </c>
      <c r="C160" s="185" t="str">
        <f t="array" ref="C160">IFNA(VLOOKUP(B160,{'DATA DE CONTROLES Y LLAVES'!I$6:I1000,'DATA DE CONTROLES Y LLAVES'!F$6:F1000},2,FALSE),"")</f>
        <v>GUSTAVO</v>
      </c>
      <c r="D160" s="185" t="str">
        <f t="array" ref="D160">IFNA(VLOOKUP(B160,{'DATA DE CONTROLES Y LLAVES'!I$6:I1000,'DATA DE CONTROLES Y LLAVES'!G$6:G1000},2,FALSE),"")</f>
        <v>ESTANGA</v>
      </c>
      <c r="E160" s="53" t="s">
        <v>47</v>
      </c>
      <c r="F160" s="187"/>
      <c r="G160" s="187"/>
    </row>
    <row r="161">
      <c r="B161" s="188" t="s">
        <v>1500</v>
      </c>
      <c r="C161" s="185" t="str">
        <f t="array" ref="C161">IFNA(VLOOKUP(B161,{'DATA DE CONTROLES Y LLAVES'!I$6:I1000,'DATA DE CONTROLES Y LLAVES'!F$6:F1000},2,FALSE),"")</f>
        <v/>
      </c>
      <c r="D161" s="185" t="str">
        <f t="array" ref="D161">IFNA(VLOOKUP(B161,{'DATA DE CONTROLES Y LLAVES'!I$6:I1000,'DATA DE CONTROLES Y LLAVES'!G$6:G1000},2,FALSE),"")</f>
        <v/>
      </c>
      <c r="E161" s="53" t="s">
        <v>22</v>
      </c>
      <c r="F161" s="187"/>
      <c r="G161" s="187"/>
    </row>
    <row r="162">
      <c r="B162" s="188" t="s">
        <v>1501</v>
      </c>
      <c r="C162" s="185" t="str">
        <f t="array" ref="C162">IFNA(VLOOKUP(B162,{'DATA DE CONTROLES Y LLAVES'!I$6:I1000,'DATA DE CONTROLES Y LLAVES'!F$6:F1000},2,FALSE),"")</f>
        <v/>
      </c>
      <c r="D162" s="185" t="str">
        <f t="array" ref="D162">IFNA(VLOOKUP(B162,{'DATA DE CONTROLES Y LLAVES'!I$6:I1000,'DATA DE CONTROLES Y LLAVES'!G$6:G1000},2,FALSE),"")</f>
        <v/>
      </c>
      <c r="E162" s="53" t="s">
        <v>47</v>
      </c>
      <c r="F162" s="187"/>
      <c r="G162" s="187"/>
    </row>
    <row r="163">
      <c r="B163" s="188" t="s">
        <v>1502</v>
      </c>
      <c r="C163" s="185" t="str">
        <f t="array" ref="C163">IFNA(VLOOKUP(B163,{'DATA DE CONTROLES Y LLAVES'!I$6:I1000,'DATA DE CONTROLES Y LLAVES'!F$6:F1000},2,FALSE),"")</f>
        <v>GLENDYS</v>
      </c>
      <c r="D163" s="185" t="str">
        <f t="array" ref="D163">IFNA(VLOOKUP(B163,{'DATA DE CONTROLES Y LLAVES'!I$6:I1000,'DATA DE CONTROLES Y LLAVES'!G$6:G1000},2,FALSE),"")</f>
        <v>GIL</v>
      </c>
      <c r="E163" s="53" t="s">
        <v>22</v>
      </c>
      <c r="F163" s="187"/>
      <c r="G163" s="187"/>
    </row>
    <row r="164">
      <c r="B164" s="188" t="s">
        <v>1503</v>
      </c>
      <c r="C164" s="185" t="str">
        <f t="array" ref="C164">IFNA(VLOOKUP(B164,{'DATA DE CONTROLES Y LLAVES'!I$6:I1000,'DATA DE CONTROLES Y LLAVES'!F$6:F1000},2,FALSE),"")</f>
        <v>Roberto hijo</v>
      </c>
      <c r="D164" s="185" t="str">
        <f t="array" ref="D164">IFNA(VLOOKUP(B164,{'DATA DE CONTROLES Y LLAVES'!I$6:I1000,'DATA DE CONTROLES Y LLAVES'!G$6:G1000},2,FALSE),"")</f>
        <v/>
      </c>
      <c r="E164" s="53" t="s">
        <v>87</v>
      </c>
      <c r="F164" s="187"/>
      <c r="G164" s="187"/>
    </row>
    <row r="165">
      <c r="B165" s="188" t="s">
        <v>1504</v>
      </c>
      <c r="C165" s="185" t="str">
        <f t="array" ref="C165">IFNA(VLOOKUP(B165,{'DATA DE CONTROLES Y LLAVES'!I$6:I1000,'DATA DE CONTROLES Y LLAVES'!F$6:F1000},2,FALSE),"")</f>
        <v>LIVIA (DE)</v>
      </c>
      <c r="D165" s="185" t="str">
        <f t="array" ref="D165">IFNA(VLOOKUP(B165,{'DATA DE CONTROLES Y LLAVES'!I$6:I1000,'DATA DE CONTROLES Y LLAVES'!G$6:G1000},2,FALSE),"")</f>
        <v>DIAZ</v>
      </c>
      <c r="E165" s="53" t="s">
        <v>47</v>
      </c>
      <c r="F165" s="187"/>
      <c r="G165" s="187"/>
    </row>
    <row r="166">
      <c r="B166" s="188" t="s">
        <v>1505</v>
      </c>
      <c r="C166" s="185" t="str">
        <f t="array" ref="C166">IFNA(VLOOKUP(B166,{'DATA DE CONTROLES Y LLAVES'!I$6:I1000,'DATA DE CONTROLES Y LLAVES'!F$6:F1000},2,FALSE),"")</f>
        <v>CARLOS </v>
      </c>
      <c r="D166" s="185" t="str">
        <f t="array" ref="D166">IFNA(VLOOKUP(B166,{'DATA DE CONTROLES Y LLAVES'!I$6:I1000,'DATA DE CONTROLES Y LLAVES'!G$6:G1000},2,FALSE),"")</f>
        <v>DIAZ </v>
      </c>
      <c r="E166" s="53" t="s">
        <v>47</v>
      </c>
      <c r="F166" s="187"/>
      <c r="G166" s="187"/>
    </row>
    <row r="167">
      <c r="B167" s="188" t="s">
        <v>1506</v>
      </c>
      <c r="C167" s="185" t="str">
        <f t="array" ref="C167">IFNA(VLOOKUP(B167,{'DATA DE CONTROLES Y LLAVES'!I$6:I1000,'DATA DE CONTROLES Y LLAVES'!F$6:F1000},2,FALSE),"")</f>
        <v>VIRGINIA</v>
      </c>
      <c r="D167" s="185" t="str">
        <f t="array" ref="D167">IFNA(VLOOKUP(B167,{'DATA DE CONTROLES Y LLAVES'!I$6:I1000,'DATA DE CONTROLES Y LLAVES'!G$6:G1000},2,FALSE),"")</f>
        <v>DÍAZ</v>
      </c>
      <c r="E167" s="53" t="s">
        <v>47</v>
      </c>
      <c r="F167" s="187"/>
      <c r="G167" s="187"/>
    </row>
    <row r="168">
      <c r="B168" s="188" t="s">
        <v>1507</v>
      </c>
      <c r="C168" s="185" t="str">
        <f t="array" ref="C168">IFNA(VLOOKUP(B168,{'DATA DE CONTROLES Y LLAVES'!I$6:I1000,'DATA DE CONTROLES Y LLAVES'!F$6:F1000},2,FALSE),"")</f>
        <v/>
      </c>
      <c r="D168" s="185" t="str">
        <f t="array" ref="D168">IFNA(VLOOKUP(B168,{'DATA DE CONTROLES Y LLAVES'!I$6:I1000,'DATA DE CONTROLES Y LLAVES'!G$6:G1000},2,FALSE),"")</f>
        <v/>
      </c>
      <c r="E168" s="53" t="s">
        <v>47</v>
      </c>
      <c r="F168" s="187"/>
      <c r="G168" s="187"/>
    </row>
    <row r="169">
      <c r="B169" s="188" t="s">
        <v>1508</v>
      </c>
      <c r="C169" s="185" t="str">
        <f t="array" ref="C169">IFNA(VLOOKUP(B169,{'DATA DE CONTROLES Y LLAVES'!I$6:I1000,'DATA DE CONTROLES Y LLAVES'!F$6:F1000},2,FALSE),"")</f>
        <v>DALIA</v>
      </c>
      <c r="D169" s="185" t="str">
        <f t="array" ref="D169">IFNA(VLOOKUP(B169,{'DATA DE CONTROLES Y LLAVES'!I$6:I1000,'DATA DE CONTROLES Y LLAVES'!G$6:G1000},2,FALSE),"")</f>
        <v>SOLÓRZANO</v>
      </c>
      <c r="E169" s="53" t="s">
        <v>47</v>
      </c>
      <c r="F169" s="187"/>
      <c r="G169" s="187"/>
    </row>
    <row r="170">
      <c r="B170" s="188" t="s">
        <v>1509</v>
      </c>
      <c r="C170" s="185" t="str">
        <f t="array" ref="C170">IFNA(VLOOKUP(B170,{'DATA DE CONTROLES Y LLAVES'!I$6:I1000,'DATA DE CONTROLES Y LLAVES'!F$6:F1000},2,FALSE),"")</f>
        <v>RAMÓN (hijo)</v>
      </c>
      <c r="D170" s="185" t="str">
        <f t="array" ref="D170">IFNA(VLOOKUP(B170,{'DATA DE CONTROLES Y LLAVES'!I$6:I1000,'DATA DE CONTROLES Y LLAVES'!G$6:G1000},2,FALSE),"")</f>
        <v>ROSARIO</v>
      </c>
      <c r="E170" s="53" t="s">
        <v>22</v>
      </c>
      <c r="F170" s="187"/>
      <c r="G170" s="187"/>
    </row>
    <row r="171">
      <c r="B171" s="188" t="s">
        <v>1510</v>
      </c>
      <c r="C171" s="185" t="str">
        <f t="array" ref="C171">IFNA(VLOOKUP(B171,{'DATA DE CONTROLES Y LLAVES'!I$6:I1000,'DATA DE CONTROLES Y LLAVES'!F$6:F1000},2,FALSE),"")</f>
        <v>ADRIANA</v>
      </c>
      <c r="D171" s="185" t="str">
        <f t="array" ref="D171">IFNA(VLOOKUP(B171,{'DATA DE CONTROLES Y LLAVES'!I$6:I1000,'DATA DE CONTROLES Y LLAVES'!G$6:G1000},2,FALSE),"")</f>
        <v>CARRASQUERO</v>
      </c>
      <c r="E171" s="53" t="s">
        <v>22</v>
      </c>
      <c r="F171" s="187"/>
      <c r="G171" s="187"/>
    </row>
    <row r="172">
      <c r="B172" s="188" t="s">
        <v>1511</v>
      </c>
      <c r="C172" s="185" t="str">
        <f t="array" ref="C172">IFNA(VLOOKUP(B172,{'DATA DE CONTROLES Y LLAVES'!I$6:I1000,'DATA DE CONTROLES Y LLAVES'!F$6:F1000},2,FALSE),"")</f>
        <v>ROBERTO (HIJO)</v>
      </c>
      <c r="D172" s="185" t="str">
        <f t="array" ref="D172">IFNA(VLOOKUP(B172,{'DATA DE CONTROLES Y LLAVES'!I$6:I1000,'DATA DE CONTROLES Y LLAVES'!G$6:G1000},2,FALSE),"")</f>
        <v>TONITO</v>
      </c>
      <c r="E172" s="53" t="s">
        <v>260</v>
      </c>
      <c r="F172" s="187"/>
      <c r="G172" s="187"/>
    </row>
    <row r="173">
      <c r="B173" s="188" t="s">
        <v>1512</v>
      </c>
      <c r="C173" s="185" t="str">
        <f t="array" ref="C173">IFNA(VLOOKUP(B173,{'DATA DE CONTROLES Y LLAVES'!I$6:I1000,'DATA DE CONTROLES Y LLAVES'!F$6:F1000},2,FALSE),"")</f>
        <v>FRANK</v>
      </c>
      <c r="D173" s="185" t="str">
        <f t="array" ref="D173">IFNA(VLOOKUP(B173,{'DATA DE CONTROLES Y LLAVES'!I$6:I1000,'DATA DE CONTROLES Y LLAVES'!G$6:G1000},2,FALSE),"")</f>
        <v>GARCÍA</v>
      </c>
      <c r="E173" s="53" t="s">
        <v>47</v>
      </c>
      <c r="F173" s="187"/>
      <c r="G173" s="187"/>
    </row>
    <row r="174">
      <c r="B174" s="188" t="s">
        <v>1513</v>
      </c>
      <c r="C174" s="185" t="str">
        <f t="array" ref="C174">IFNA(VLOOKUP(B174,{'DATA DE CONTROLES Y LLAVES'!I$6:I1000,'DATA DE CONTROLES Y LLAVES'!F$6:F1000},2,FALSE),"")</f>
        <v/>
      </c>
      <c r="D174" s="185" t="str">
        <f t="array" ref="D174">IFNA(VLOOKUP(B174,{'DATA DE CONTROLES Y LLAVES'!I$6:I1000,'DATA DE CONTROLES Y LLAVES'!G$6:G1000},2,FALSE),"")</f>
        <v/>
      </c>
      <c r="E174" s="53" t="s">
        <v>47</v>
      </c>
      <c r="F174" s="187"/>
      <c r="G174" s="187"/>
    </row>
    <row r="175">
      <c r="B175" s="188" t="s">
        <v>1514</v>
      </c>
      <c r="C175" s="185" t="str">
        <f t="array" ref="C175">IFNA(VLOOKUP(B175,{'DATA DE CONTROLES Y LLAVES'!I$6:I1000,'DATA DE CONTROLES Y LLAVES'!F$6:F1000},2,FALSE),"")</f>
        <v/>
      </c>
      <c r="D175" s="185" t="str">
        <f t="array" ref="D175">IFNA(VLOOKUP(B175,{'DATA DE CONTROLES Y LLAVES'!I$6:I1000,'DATA DE CONTROLES Y LLAVES'!G$6:G1000},2,FALSE),"")</f>
        <v/>
      </c>
      <c r="E175" s="53" t="s">
        <v>47</v>
      </c>
      <c r="F175" s="187"/>
      <c r="G175" s="187"/>
    </row>
    <row r="176">
      <c r="B176" s="188" t="s">
        <v>1515</v>
      </c>
      <c r="C176" s="185" t="str">
        <f t="array" ref="C176">IFNA(VLOOKUP(B176,{'DATA DE CONTROLES Y LLAVES'!I$6:I1000,'DATA DE CONTROLES Y LLAVES'!F$6:F1000},2,FALSE),"")</f>
        <v>ARACELIS</v>
      </c>
      <c r="D176" s="185" t="str">
        <f t="array" ref="D176">IFNA(VLOOKUP(B176,{'DATA DE CONTROLES Y LLAVES'!I$6:I1000,'DATA DE CONTROLES Y LLAVES'!G$6:G1000},2,FALSE),"")</f>
        <v>DOMINGUEZ</v>
      </c>
      <c r="E176" s="53" t="s">
        <v>22</v>
      </c>
      <c r="F176" s="187"/>
      <c r="G176" s="187"/>
    </row>
    <row r="177">
      <c r="B177" s="188" t="s">
        <v>1516</v>
      </c>
      <c r="C177" s="185" t="str">
        <f t="array" ref="C177">IFNA(VLOOKUP(B177,{'DATA DE CONTROLES Y LLAVES'!I$6:I1000,'DATA DE CONTROLES Y LLAVES'!F$6:F1000},2,FALSE),"")</f>
        <v>INDALEZA</v>
      </c>
      <c r="D177" s="185" t="str">
        <f t="array" ref="D177">IFNA(VLOOKUP(B177,{'DATA DE CONTROLES Y LLAVES'!I$6:I1000,'DATA DE CONTROLES Y LLAVES'!G$6:G1000},2,FALSE),"")</f>
        <v>MEJÍAS</v>
      </c>
      <c r="E177" s="53" t="s">
        <v>22</v>
      </c>
      <c r="F177" s="187"/>
      <c r="G177" s="187"/>
    </row>
    <row r="178">
      <c r="B178" s="188" t="s">
        <v>1517</v>
      </c>
      <c r="C178" s="185" t="str">
        <f t="array" ref="C178">IFNA(VLOOKUP(B178,{'DATA DE CONTROLES Y LLAVES'!I$6:I1000,'DATA DE CONTROLES Y LLAVES'!F$6:F1000},2,FALSE),"")</f>
        <v>RAMÓN</v>
      </c>
      <c r="D178" s="185" t="str">
        <f t="array" ref="D178">IFNA(VLOOKUP(B178,{'DATA DE CONTROLES Y LLAVES'!I$6:I1000,'DATA DE CONTROLES Y LLAVES'!G$6:G1000},2,FALSE),"")</f>
        <v>SANCHEZ</v>
      </c>
      <c r="E178" s="53" t="s">
        <v>87</v>
      </c>
      <c r="F178" s="187"/>
      <c r="G178" s="187"/>
    </row>
    <row r="179">
      <c r="B179" s="188" t="s">
        <v>1518</v>
      </c>
      <c r="C179" s="185" t="str">
        <f t="array" ref="C179">IFNA(VLOOKUP(B179,{'DATA DE CONTROLES Y LLAVES'!I$6:I1000,'DATA DE CONTROLES Y LLAVES'!F$6:F1000},2,FALSE),"")</f>
        <v>alexander </v>
      </c>
      <c r="D179" s="185" t="str">
        <f t="array" ref="D179">IFNA(VLOOKUP(B179,{'DATA DE CONTROLES Y LLAVES'!I$6:I1000,'DATA DE CONTROLES Y LLAVES'!G$6:G1000},2,FALSE),"")</f>
        <v>molina</v>
      </c>
      <c r="E179" s="53" t="s">
        <v>47</v>
      </c>
      <c r="F179" s="187"/>
      <c r="G179" s="187"/>
    </row>
    <row r="180">
      <c r="B180" s="188" t="s">
        <v>1519</v>
      </c>
      <c r="C180" s="185" t="str">
        <f t="array" ref="C180">IFNA(VLOOKUP(B180,{'DATA DE CONTROLES Y LLAVES'!I$6:I1000,'DATA DE CONTROLES Y LLAVES'!F$6:F1000},2,FALSE),"")</f>
        <v>WILFREDO </v>
      </c>
      <c r="D180" s="185" t="str">
        <f t="array" ref="D180">IFNA(VLOOKUP(B180,{'DATA DE CONTROLES Y LLAVES'!I$6:I1000,'DATA DE CONTROLES Y LLAVES'!G$6:G1000},2,FALSE),"")</f>
        <v>LAMUS</v>
      </c>
      <c r="E180" s="53" t="s">
        <v>22</v>
      </c>
      <c r="F180" s="187"/>
      <c r="G180" s="187"/>
    </row>
    <row r="181">
      <c r="B181" s="188" t="s">
        <v>1520</v>
      </c>
      <c r="C181" s="185" t="str">
        <f t="array" ref="C181">IFNA(VLOOKUP(B181,{'DATA DE CONTROLES Y LLAVES'!I$6:I1000,'DATA DE CONTROLES Y LLAVES'!F$6:F1000},2,FALSE),"")</f>
        <v/>
      </c>
      <c r="D181" s="185" t="str">
        <f t="array" ref="D181">IFNA(VLOOKUP(B181,{'DATA DE CONTROLES Y LLAVES'!I$6:I1000,'DATA DE CONTROLES Y LLAVES'!G$6:G1000},2,FALSE),"")</f>
        <v/>
      </c>
      <c r="E181" s="53" t="s">
        <v>47</v>
      </c>
      <c r="F181" s="187"/>
      <c r="G181" s="187"/>
    </row>
    <row r="182">
      <c r="B182" s="188" t="s">
        <v>1521</v>
      </c>
      <c r="C182" s="185" t="str">
        <f t="array" ref="C182">IFNA(VLOOKUP(B182,{'DATA DE CONTROLES Y LLAVES'!I$6:I1000,'DATA DE CONTROLES Y LLAVES'!F$6:F1000},2,FALSE),"")</f>
        <v>JONATHAN</v>
      </c>
      <c r="D182" s="185" t="str">
        <f t="array" ref="D182">IFNA(VLOOKUP(B182,{'DATA DE CONTROLES Y LLAVES'!I$6:I1000,'DATA DE CONTROLES Y LLAVES'!G$6:G1000},2,FALSE),"")</f>
        <v>ORTEGA</v>
      </c>
      <c r="E182" s="53" t="s">
        <v>22</v>
      </c>
      <c r="F182" s="187"/>
      <c r="G182" s="187"/>
    </row>
    <row r="183">
      <c r="B183" s="188" t="s">
        <v>1522</v>
      </c>
      <c r="C183" s="185" t="str">
        <f t="array" ref="C183">IFNA(VLOOKUP(B183,{'DATA DE CONTROLES Y LLAVES'!I$6:I1000,'DATA DE CONTROLES Y LLAVES'!F$6:F1000},2,FALSE),"")</f>
        <v/>
      </c>
      <c r="D183" s="185" t="str">
        <f t="array" ref="D183">IFNA(VLOOKUP(B183,{'DATA DE CONTROLES Y LLAVES'!I$6:I1000,'DATA DE CONTROLES Y LLAVES'!G$6:G1000},2,FALSE),"")</f>
        <v/>
      </c>
      <c r="E183" s="53" t="s">
        <v>22</v>
      </c>
      <c r="F183" s="187"/>
      <c r="G183" s="187"/>
    </row>
    <row r="184">
      <c r="B184" s="188" t="s">
        <v>1523</v>
      </c>
      <c r="C184" s="185" t="str">
        <f t="array" ref="C184">IFNA(VLOOKUP(B184,{'DATA DE CONTROLES Y LLAVES'!I$6:I1000,'DATA DE CONTROLES Y LLAVES'!F$6:F1000},2,FALSE),"")</f>
        <v/>
      </c>
      <c r="D184" s="185" t="str">
        <f t="array" ref="D184">IFNA(VLOOKUP(B184,{'DATA DE CONTROLES Y LLAVES'!I$6:I1000,'DATA DE CONTROLES Y LLAVES'!G$6:G1000},2,FALSE),"")</f>
        <v/>
      </c>
      <c r="E184" s="53" t="s">
        <v>22</v>
      </c>
      <c r="F184" s="187"/>
      <c r="G184" s="187"/>
    </row>
    <row r="185">
      <c r="B185" s="188" t="s">
        <v>1524</v>
      </c>
      <c r="C185" s="185" t="str">
        <f t="array" ref="C185">IFNA(VLOOKUP(B185,{'DATA DE CONTROLES Y LLAVES'!I$6:I1000,'DATA DE CONTROLES Y LLAVES'!F$6:F1000},2,FALSE),"")</f>
        <v>PEDRO </v>
      </c>
      <c r="D185" s="185" t="str">
        <f t="array" ref="D185">IFNA(VLOOKUP(B185,{'DATA DE CONTROLES Y LLAVES'!I$6:I1000,'DATA DE CONTROLES Y LLAVES'!G$6:G1000},2,FALSE),"")</f>
        <v>CARPIO</v>
      </c>
      <c r="E185" s="53" t="s">
        <v>47</v>
      </c>
      <c r="F185" s="187"/>
      <c r="G185" s="187"/>
    </row>
    <row r="186">
      <c r="B186" s="188" t="s">
        <v>1525</v>
      </c>
      <c r="C186" s="185" t="str">
        <f t="array" ref="C186">IFNA(VLOOKUP(B186,{'DATA DE CONTROLES Y LLAVES'!I$6:I1000,'DATA DE CONTROLES Y LLAVES'!F$6:F1000},2,FALSE),"")</f>
        <v>GABRIEL (PIRULO)</v>
      </c>
      <c r="D186" s="185" t="str">
        <f t="array" ref="D186">IFNA(VLOOKUP(B186,{'DATA DE CONTROLES Y LLAVES'!I$6:I1000,'DATA DE CONTROLES Y LLAVES'!G$6:G1000},2,FALSE),"")</f>
        <v>BRITO</v>
      </c>
      <c r="E186" s="53" t="s">
        <v>22</v>
      </c>
      <c r="F186" s="187"/>
      <c r="G186" s="187"/>
    </row>
    <row r="187">
      <c r="B187" s="188" t="s">
        <v>1526</v>
      </c>
      <c r="C187" s="185" t="str">
        <f t="array" ref="C187">IFNA(VLOOKUP(B187,{'DATA DE CONTROLES Y LLAVES'!I$6:I1000,'DATA DE CONTROLES Y LLAVES'!F$6:F1000},2,FALSE),"")</f>
        <v>FRANKLIN </v>
      </c>
      <c r="D187" s="185" t="str">
        <f t="array" ref="D187">IFNA(VLOOKUP(B187,{'DATA DE CONTROLES Y LLAVES'!I$6:I1000,'DATA DE CONTROLES Y LLAVES'!G$6:G1000},2,FALSE),"")</f>
        <v>MARTINEZ</v>
      </c>
      <c r="E187" s="53" t="s">
        <v>47</v>
      </c>
      <c r="F187" s="187"/>
      <c r="G187" s="187"/>
    </row>
    <row r="188">
      <c r="B188" s="188" t="s">
        <v>1527</v>
      </c>
      <c r="C188" s="185" t="str">
        <f t="array" ref="C188">IFNA(VLOOKUP(B188,{'DATA DE CONTROLES Y LLAVES'!I$6:I1000,'DATA DE CONTROLES Y LLAVES'!F$6:F1000},2,FALSE),"")</f>
        <v>VICTOR</v>
      </c>
      <c r="D188" s="185" t="str">
        <f t="array" ref="D188">IFNA(VLOOKUP(B188,{'DATA DE CONTROLES Y LLAVES'!I$6:I1000,'DATA DE CONTROLES Y LLAVES'!G$6:G1000},2,FALSE),"")</f>
        <v>JIMÉNEZ</v>
      </c>
      <c r="E188" s="53" t="s">
        <v>22</v>
      </c>
      <c r="F188" s="187"/>
      <c r="G188" s="187"/>
    </row>
    <row r="189">
      <c r="B189" s="188" t="s">
        <v>1528</v>
      </c>
      <c r="C189" s="185" t="str">
        <f t="array" ref="C189">IFNA(VLOOKUP(B189,{'DATA DE CONTROLES Y LLAVES'!I$6:I1000,'DATA DE CONTROLES Y LLAVES'!F$6:F1000},2,FALSE),"")</f>
        <v>PEDRO</v>
      </c>
      <c r="D189" s="185" t="str">
        <f t="array" ref="D189">IFNA(VLOOKUP(B189,{'DATA DE CONTROLES Y LLAVES'!I$6:I1000,'DATA DE CONTROLES Y LLAVES'!G$6:G1000},2,FALSE),"")</f>
        <v>MATA</v>
      </c>
      <c r="E189" s="53" t="s">
        <v>22</v>
      </c>
      <c r="F189" s="187"/>
      <c r="G189" s="187"/>
    </row>
    <row r="190">
      <c r="B190" s="188" t="s">
        <v>1529</v>
      </c>
      <c r="C190" s="185" t="str">
        <f t="array" ref="C190">IFNA(VLOOKUP(B190,{'DATA DE CONTROLES Y LLAVES'!I$6:I1000,'DATA DE CONTROLES Y LLAVES'!F$6:F1000},2,FALSE),"")</f>
        <v/>
      </c>
      <c r="D190" s="185" t="str">
        <f t="array" ref="D190">IFNA(VLOOKUP(B190,{'DATA DE CONTROLES Y LLAVES'!I$6:I1000,'DATA DE CONTROLES Y LLAVES'!G$6:G1000},2,FALSE),"")</f>
        <v/>
      </c>
      <c r="E190" s="53" t="s">
        <v>22</v>
      </c>
      <c r="F190" s="187"/>
      <c r="G190" s="187"/>
    </row>
    <row r="191">
      <c r="B191" s="188" t="s">
        <v>1530</v>
      </c>
      <c r="C191" s="185" t="str">
        <f t="array" ref="C191">IFNA(VLOOKUP(B191,{'DATA DE CONTROLES Y LLAVES'!I$6:I1000,'DATA DE CONTROLES Y LLAVES'!F$6:F1000},2,FALSE),"")</f>
        <v>ELSA</v>
      </c>
      <c r="D191" s="185" t="str">
        <f t="array" ref="D191">IFNA(VLOOKUP(B191,{'DATA DE CONTROLES Y LLAVES'!I$6:I1000,'DATA DE CONTROLES Y LLAVES'!G$6:G1000},2,FALSE),"")</f>
        <v>MARTINEZ</v>
      </c>
      <c r="E191" s="53" t="s">
        <v>22</v>
      </c>
      <c r="F191" s="187"/>
      <c r="G191" s="187"/>
    </row>
    <row r="192">
      <c r="B192" s="188" t="s">
        <v>1531</v>
      </c>
      <c r="C192" s="185" t="str">
        <f t="array" ref="C192">IFNA(VLOOKUP(B192,{'DATA DE CONTROLES Y LLAVES'!I$6:I1000,'DATA DE CONTROLES Y LLAVES'!F$6:F1000},2,FALSE),"")</f>
        <v>JANETH</v>
      </c>
      <c r="D192" s="185" t="str">
        <f t="array" ref="D192">IFNA(VLOOKUP(B192,{'DATA DE CONTROLES Y LLAVES'!I$6:I1000,'DATA DE CONTROLES Y LLAVES'!G$6:G1000},2,FALSE),"")</f>
        <v>ACOSTA</v>
      </c>
      <c r="E192" s="53" t="s">
        <v>47</v>
      </c>
      <c r="F192" s="187"/>
      <c r="G192" s="187"/>
    </row>
    <row r="193">
      <c r="B193" s="188" t="s">
        <v>1532</v>
      </c>
      <c r="C193" s="185" t="str">
        <f t="array" ref="C193">IFNA(VLOOKUP(B193,{'DATA DE CONTROLES Y LLAVES'!I$6:I1000,'DATA DE CONTROLES Y LLAVES'!F$6:F1000},2,FALSE),"")</f>
        <v/>
      </c>
      <c r="D193" s="185" t="str">
        <f t="array" ref="D193">IFNA(VLOOKUP(B193,{'DATA DE CONTROLES Y LLAVES'!I$6:I1000,'DATA DE CONTROLES Y LLAVES'!G$6:G1000},2,FALSE),"")</f>
        <v/>
      </c>
      <c r="E193" s="53" t="s">
        <v>22</v>
      </c>
      <c r="F193" s="187"/>
      <c r="G193" s="187"/>
    </row>
    <row r="194">
      <c r="B194" s="188" t="s">
        <v>1533</v>
      </c>
      <c r="C194" s="185" t="str">
        <f t="array" ref="C194">IFNA(VLOOKUP(B194,{'DATA DE CONTROLES Y LLAVES'!I$6:I1000,'DATA DE CONTROLES Y LLAVES'!F$6:F1000},2,FALSE),"")</f>
        <v>ROSA</v>
      </c>
      <c r="D194" s="185" t="str">
        <f t="array" ref="D194">IFNA(VLOOKUP(B194,{'DATA DE CONTROLES Y LLAVES'!I$6:I1000,'DATA DE CONTROLES Y LLAVES'!G$6:G1000},2,FALSE),"")</f>
        <v>CRESPO</v>
      </c>
      <c r="E194" s="53" t="s">
        <v>22</v>
      </c>
      <c r="F194" s="187"/>
      <c r="G194" s="187"/>
    </row>
    <row r="195">
      <c r="B195" s="188" t="s">
        <v>1534</v>
      </c>
      <c r="C195" s="185" t="str">
        <f t="array" ref="C195">IFNA(VLOOKUP(B195,{'DATA DE CONTROLES Y LLAVES'!I$6:I1000,'DATA DE CONTROLES Y LLAVES'!F$6:F1000},2,FALSE),"")</f>
        <v>LISETTE</v>
      </c>
      <c r="D195" s="185" t="str">
        <f t="array" ref="D195">IFNA(VLOOKUP(B195,{'DATA DE CONTROLES Y LLAVES'!I$6:I1000,'DATA DE CONTROLES Y LLAVES'!G$6:G1000},2,FALSE),"")</f>
        <v>IBARRA</v>
      </c>
      <c r="E195" s="53" t="s">
        <v>22</v>
      </c>
      <c r="F195" s="187"/>
      <c r="G195" s="187"/>
    </row>
    <row r="196">
      <c r="B196" s="188" t="s">
        <v>1535</v>
      </c>
      <c r="C196" s="185" t="str">
        <f t="array" ref="C196">IFNA(VLOOKUP(B196,{'DATA DE CONTROLES Y LLAVES'!I$6:I1000,'DATA DE CONTROLES Y LLAVES'!F$6:F1000},2,FALSE),"")</f>
        <v/>
      </c>
      <c r="D196" s="185" t="str">
        <f t="array" ref="D196">IFNA(VLOOKUP(B196,{'DATA DE CONTROLES Y LLAVES'!I$6:I1000,'DATA DE CONTROLES Y LLAVES'!G$6:G1000},2,FALSE),"")</f>
        <v/>
      </c>
      <c r="E196" s="53" t="s">
        <v>22</v>
      </c>
      <c r="F196" s="187"/>
      <c r="G196" s="187"/>
    </row>
    <row r="197">
      <c r="B197" s="188" t="s">
        <v>1536</v>
      </c>
      <c r="C197" s="185" t="str">
        <f t="array" ref="C197">IFNA(VLOOKUP(B197,{'DATA DE CONTROLES Y LLAVES'!I$6:I1000,'DATA DE CONTROLES Y LLAVES'!F$6:F1000},2,FALSE),"")</f>
        <v>EDGARDO</v>
      </c>
      <c r="D197" s="185" t="str">
        <f t="array" ref="D197">IFNA(VLOOKUP(B197,{'DATA DE CONTROLES Y LLAVES'!I$6:I1000,'DATA DE CONTROLES Y LLAVES'!G$6:G1000},2,FALSE),"")</f>
        <v>ACEITUNO</v>
      </c>
      <c r="E197" s="53" t="s">
        <v>22</v>
      </c>
      <c r="F197" s="187"/>
      <c r="G197" s="187"/>
    </row>
    <row r="198">
      <c r="B198" s="188" t="s">
        <v>1537</v>
      </c>
      <c r="C198" s="185" t="str">
        <f t="array" ref="C198">IFNA(VLOOKUP(B198,{'DATA DE CONTROLES Y LLAVES'!I$6:I1000,'DATA DE CONTROLES Y LLAVES'!F$6:F1000},2,FALSE),"")</f>
        <v/>
      </c>
      <c r="D198" s="185" t="str">
        <f t="array" ref="D198">IFNA(VLOOKUP(B198,{'DATA DE CONTROLES Y LLAVES'!I$6:I1000,'DATA DE CONTROLES Y LLAVES'!G$6:G1000},2,FALSE),"")</f>
        <v/>
      </c>
      <c r="E198" s="53" t="s">
        <v>47</v>
      </c>
      <c r="F198" s="187"/>
      <c r="G198" s="187"/>
    </row>
    <row r="199">
      <c r="B199" s="188" t="s">
        <v>1538</v>
      </c>
      <c r="C199" s="185" t="str">
        <f t="array" ref="C199">IFNA(VLOOKUP(B199,{'DATA DE CONTROLES Y LLAVES'!I$6:I1000,'DATA DE CONTROLES Y LLAVES'!F$6:F1000},2,FALSE),"")</f>
        <v/>
      </c>
      <c r="D199" s="185" t="str">
        <f t="array" ref="D199">IFNA(VLOOKUP(B199,{'DATA DE CONTROLES Y LLAVES'!I$6:I1000,'DATA DE CONTROLES Y LLAVES'!G$6:G1000},2,FALSE),"")</f>
        <v/>
      </c>
      <c r="E199" s="53" t="s">
        <v>22</v>
      </c>
      <c r="F199" s="187"/>
      <c r="G199" s="187"/>
    </row>
    <row r="200">
      <c r="B200" s="188" t="s">
        <v>1539</v>
      </c>
      <c r="C200" s="185" t="str">
        <f t="array" ref="C200">IFNA(VLOOKUP(B200,{'DATA DE CONTROLES Y LLAVES'!I$6:I1000,'DATA DE CONTROLES Y LLAVES'!F$6:F1000},2,FALSE),"")</f>
        <v/>
      </c>
      <c r="D200" s="185" t="str">
        <f t="array" ref="D200">IFNA(VLOOKUP(B200,{'DATA DE CONTROLES Y LLAVES'!I$6:I1000,'DATA DE CONTROLES Y LLAVES'!G$6:G1000},2,FALSE),"")</f>
        <v/>
      </c>
      <c r="E200" s="53" t="s">
        <v>22</v>
      </c>
      <c r="F200" s="187"/>
      <c r="G200" s="187"/>
    </row>
    <row r="201">
      <c r="B201" s="188" t="s">
        <v>1540</v>
      </c>
      <c r="C201" s="185" t="str">
        <f t="array" ref="C201">IFNA(VLOOKUP(B201,{'DATA DE CONTROLES Y LLAVES'!I$6:I1000,'DATA DE CONTROLES Y LLAVES'!F$6:F1000},2,FALSE),"")</f>
        <v>REINALDO</v>
      </c>
      <c r="D201" s="185" t="str">
        <f t="array" ref="D201">IFNA(VLOOKUP(B201,{'DATA DE CONTROLES Y LLAVES'!I$6:I1000,'DATA DE CONTROLES Y LLAVES'!G$6:G1000},2,FALSE),"")</f>
        <v>ARENAS</v>
      </c>
      <c r="E201" s="53" t="s">
        <v>260</v>
      </c>
      <c r="F201" s="187"/>
      <c r="G201" s="187"/>
    </row>
    <row r="202">
      <c r="B202" s="188" t="s">
        <v>1541</v>
      </c>
      <c r="C202" s="185" t="str">
        <f t="array" ref="C202">IFNA(VLOOKUP(B202,{'DATA DE CONTROLES Y LLAVES'!I$6:I1000,'DATA DE CONTROLES Y LLAVES'!F$6:F1000},2,FALSE),"")</f>
        <v>JOSÉ</v>
      </c>
      <c r="D202" s="185" t="str">
        <f t="array" ref="D202">IFNA(VLOOKUP(B202,{'DATA DE CONTROLES Y LLAVES'!I$6:I1000,'DATA DE CONTROLES Y LLAVES'!G$6:G1000},2,FALSE),"")</f>
        <v>CARVAJAL (HIJO)</v>
      </c>
      <c r="E202" s="53" t="s">
        <v>47</v>
      </c>
      <c r="F202" s="187"/>
      <c r="G202" s="187"/>
    </row>
    <row r="203">
      <c r="B203" s="188" t="s">
        <v>1542</v>
      </c>
      <c r="C203" s="185" t="str">
        <f t="array" ref="C203">IFNA(VLOOKUP(B203,{'DATA DE CONTROLES Y LLAVES'!I$6:I1000,'DATA DE CONTROLES Y LLAVES'!F$6:F1000},2,FALSE),"")</f>
        <v>ROSARIO</v>
      </c>
      <c r="D203" s="185" t="str">
        <f t="array" ref="D203">IFNA(VLOOKUP(B203,{'DATA DE CONTROLES Y LLAVES'!I$6:I1000,'DATA DE CONTROLES Y LLAVES'!G$6:G1000},2,FALSE),"")</f>
        <v>ACOSTA</v>
      </c>
      <c r="E203" s="53" t="s">
        <v>22</v>
      </c>
      <c r="F203" s="187"/>
      <c r="G203" s="187"/>
    </row>
    <row r="204">
      <c r="B204" s="188" t="s">
        <v>1543</v>
      </c>
      <c r="C204" s="185" t="str">
        <f t="array" ref="C204">IFNA(VLOOKUP(B204,{'DATA DE CONTROLES Y LLAVES'!I$6:I1000,'DATA DE CONTROLES Y LLAVES'!F$6:F1000},2,FALSE),"")</f>
        <v>ARQUIMEDEZ</v>
      </c>
      <c r="D204" s="185" t="str">
        <f t="array" ref="D204">IFNA(VLOOKUP(B204,{'DATA DE CONTROLES Y LLAVES'!I$6:I1000,'DATA DE CONTROLES Y LLAVES'!G$6:G1000},2,FALSE),"")</f>
        <v>LEÓN</v>
      </c>
      <c r="E204" s="53" t="s">
        <v>22</v>
      </c>
      <c r="F204" s="187"/>
      <c r="G204" s="187"/>
    </row>
    <row r="205">
      <c r="B205" s="188" t="s">
        <v>1544</v>
      </c>
      <c r="C205" s="185" t="str">
        <f t="array" ref="C205">IFNA(VLOOKUP(B205,{'DATA DE CONTROLES Y LLAVES'!I$6:I1000,'DATA DE CONTROLES Y LLAVES'!F$6:F1000},2,FALSE),"")</f>
        <v>BELKIS</v>
      </c>
      <c r="D205" s="185" t="str">
        <f t="array" ref="D205">IFNA(VLOOKUP(B205,{'DATA DE CONTROLES Y LLAVES'!I$6:I1000,'DATA DE CONTROLES Y LLAVES'!G$6:G1000},2,FALSE),"")</f>
        <v>NIETO</v>
      </c>
      <c r="E205" s="53" t="s">
        <v>22</v>
      </c>
      <c r="F205" s="187"/>
      <c r="G205" s="187"/>
    </row>
    <row r="206">
      <c r="B206" s="188" t="s">
        <v>1545</v>
      </c>
      <c r="C206" s="185" t="str">
        <f t="array" ref="C206">IFNA(VLOOKUP(B206,{'DATA DE CONTROLES Y LLAVES'!I$6:I1000,'DATA DE CONTROLES Y LLAVES'!F$6:F1000},2,FALSE),"")</f>
        <v>ALEJANDRA</v>
      </c>
      <c r="D206" s="185" t="str">
        <f t="array" ref="D206">IFNA(VLOOKUP(B206,{'DATA DE CONTROLES Y LLAVES'!I$6:I1000,'DATA DE CONTROLES Y LLAVES'!G$6:G1000},2,FALSE),"")</f>
        <v>PAMELÁ</v>
      </c>
      <c r="E206" s="53" t="s">
        <v>47</v>
      </c>
      <c r="F206" s="187"/>
      <c r="G206" s="187"/>
    </row>
    <row r="207">
      <c r="B207" s="188" t="s">
        <v>1546</v>
      </c>
      <c r="C207" s="185" t="str">
        <f t="array" ref="C207">IFNA(VLOOKUP(B207,{'DATA DE CONTROLES Y LLAVES'!I$6:I1000,'DATA DE CONTROLES Y LLAVES'!F$6:F1000},2,FALSE),"")</f>
        <v/>
      </c>
      <c r="D207" s="185" t="str">
        <f t="array" ref="D207">IFNA(VLOOKUP(B207,{'DATA DE CONTROLES Y LLAVES'!I$6:I1000,'DATA DE CONTROLES Y LLAVES'!G$6:G1000},2,FALSE),"")</f>
        <v/>
      </c>
      <c r="E207" s="53" t="s">
        <v>47</v>
      </c>
      <c r="F207" s="187"/>
      <c r="G207" s="187"/>
    </row>
    <row r="208">
      <c r="B208" s="188" t="s">
        <v>1547</v>
      </c>
      <c r="C208" s="185" t="str">
        <f t="array" ref="C208">IFNA(VLOOKUP(B208,{'DATA DE CONTROLES Y LLAVES'!I$6:I1000,'DATA DE CONTROLES Y LLAVES'!F$6:F1000},2,FALSE),"")</f>
        <v>FLORIS</v>
      </c>
      <c r="D208" s="185" t="str">
        <f t="array" ref="D208">IFNA(VLOOKUP(B208,{'DATA DE CONTROLES Y LLAVES'!I$6:I1000,'DATA DE CONTROLES Y LLAVES'!G$6:G1000},2,FALSE),"")</f>
        <v>URDANETA</v>
      </c>
      <c r="E208" s="53" t="s">
        <v>22</v>
      </c>
      <c r="F208" s="187"/>
      <c r="G208" s="187"/>
    </row>
    <row r="209">
      <c r="B209" s="188" t="s">
        <v>1548</v>
      </c>
      <c r="C209" s="185" t="str">
        <f t="array" ref="C209">IFNA(VLOOKUP(B209,{'DATA DE CONTROLES Y LLAVES'!I$6:I1000,'DATA DE CONTROLES Y LLAVES'!F$6:F1000},2,FALSE),"")</f>
        <v/>
      </c>
      <c r="D209" s="185" t="str">
        <f t="array" ref="D209">IFNA(VLOOKUP(B209,{'DATA DE CONTROLES Y LLAVES'!I$6:I1000,'DATA DE CONTROLES Y LLAVES'!G$6:G1000},2,FALSE),"")</f>
        <v/>
      </c>
      <c r="E209" s="53" t="s">
        <v>22</v>
      </c>
      <c r="F209" s="187"/>
      <c r="G209" s="187"/>
    </row>
    <row r="210">
      <c r="B210" s="188" t="s">
        <v>1549</v>
      </c>
      <c r="C210" s="185" t="str">
        <f t="array" ref="C210">IFNA(VLOOKUP(B210,{'DATA DE CONTROLES Y LLAVES'!I$6:I1000,'DATA DE CONTROLES Y LLAVES'!F$6:F1000},2,FALSE),"")</f>
        <v>BEATRIZ</v>
      </c>
      <c r="D210" s="185" t="str">
        <f t="array" ref="D210">IFNA(VLOOKUP(B210,{'DATA DE CONTROLES Y LLAVES'!I$6:I1000,'DATA DE CONTROLES Y LLAVES'!G$6:G1000},2,FALSE),"")</f>
        <v>PEREZ</v>
      </c>
      <c r="E210" s="53" t="s">
        <v>22</v>
      </c>
      <c r="F210" s="187"/>
      <c r="G210" s="187"/>
    </row>
    <row r="211">
      <c r="B211" s="188" t="s">
        <v>1550</v>
      </c>
      <c r="C211" s="185" t="str">
        <f t="array" ref="C211">IFNA(VLOOKUP(B211,{'DATA DE CONTROLES Y LLAVES'!I$6:I1000,'DATA DE CONTROLES Y LLAVES'!F$6:F1000},2,FALSE),"")</f>
        <v>Roinel</v>
      </c>
      <c r="D211" s="185" t="str">
        <f t="array" ref="D211">IFNA(VLOOKUP(B211,{'DATA DE CONTROLES Y LLAVES'!I$6:I1000,'DATA DE CONTROLES Y LLAVES'!G$6:G1000},2,FALSE),"")</f>
        <v>Acosta</v>
      </c>
      <c r="E211" s="53" t="s">
        <v>22</v>
      </c>
      <c r="F211" s="187"/>
      <c r="G211" s="187"/>
    </row>
    <row r="212">
      <c r="B212" s="188" t="s">
        <v>1551</v>
      </c>
      <c r="C212" s="185" t="str">
        <f t="array" ref="C212">IFNA(VLOOKUP(B212,{'DATA DE CONTROLES Y LLAVES'!I$6:I1000,'DATA DE CONTROLES Y LLAVES'!F$6:F1000},2,FALSE),"")</f>
        <v>DARLING</v>
      </c>
      <c r="D212" s="185" t="str">
        <f t="array" ref="D212">IFNA(VLOOKUP(B212,{'DATA DE CONTROLES Y LLAVES'!I$6:I1000,'DATA DE CONTROLES Y LLAVES'!G$6:G1000},2,FALSE),"")</f>
        <v>VIVAS</v>
      </c>
      <c r="E212" s="53" t="s">
        <v>22</v>
      </c>
      <c r="F212" s="187"/>
      <c r="G212" s="187"/>
    </row>
    <row r="213">
      <c r="B213" s="188" t="s">
        <v>1552</v>
      </c>
      <c r="C213" s="185" t="str">
        <f t="array" ref="C213">IFNA(VLOOKUP(B213,{'DATA DE CONTROLES Y LLAVES'!I$6:I1000,'DATA DE CONTROLES Y LLAVES'!F$6:F1000},2,FALSE),"")</f>
        <v>livia </v>
      </c>
      <c r="D213" s="185" t="str">
        <f t="array" ref="D213">IFNA(VLOOKUP(B213,{'DATA DE CONTROLES Y LLAVES'!I$6:I1000,'DATA DE CONTROLES Y LLAVES'!G$6:G1000},2,FALSE),"")</f>
        <v>de díaz </v>
      </c>
      <c r="E213" s="53" t="s">
        <v>22</v>
      </c>
      <c r="F213" s="187"/>
      <c r="G213" s="187"/>
    </row>
    <row r="214">
      <c r="B214" s="188" t="s">
        <v>1553</v>
      </c>
      <c r="C214" s="185" t="str">
        <f t="array" ref="C214">IFNA(VLOOKUP(B214,{'DATA DE CONTROLES Y LLAVES'!I$6:I1000,'DATA DE CONTROLES Y LLAVES'!F$6:F1000},2,FALSE),"")</f>
        <v>BETTY </v>
      </c>
      <c r="D214" s="185" t="str">
        <f t="array" ref="D214">IFNA(VLOOKUP(B214,{'DATA DE CONTROLES Y LLAVES'!I$6:I1000,'DATA DE CONTROLES Y LLAVES'!G$6:G1000},2,FALSE),"")</f>
        <v>PRIETO</v>
      </c>
      <c r="E214" s="53" t="s">
        <v>47</v>
      </c>
      <c r="F214" s="187"/>
      <c r="G214" s="187"/>
    </row>
    <row r="215">
      <c r="B215" s="188" t="s">
        <v>1554</v>
      </c>
      <c r="C215" s="185" t="str">
        <f t="array" ref="C215">IFNA(VLOOKUP(B215,{'DATA DE CONTROLES Y LLAVES'!I$6:I1000,'DATA DE CONTROLES Y LLAVES'!F$6:F1000},2,FALSE),"")</f>
        <v>ILSE (DE)</v>
      </c>
      <c r="D215" s="185" t="str">
        <f t="array" ref="D215">IFNA(VLOOKUP(B215,{'DATA DE CONTROLES Y LLAVES'!I$6:I1000,'DATA DE CONTROLES Y LLAVES'!G$6:G1000},2,FALSE),"")</f>
        <v>CONTRERAS</v>
      </c>
      <c r="E215" s="53" t="s">
        <v>22</v>
      </c>
      <c r="F215" s="187"/>
      <c r="G215" s="187"/>
    </row>
    <row r="216">
      <c r="B216" s="188" t="s">
        <v>1555</v>
      </c>
      <c r="C216" s="185" t="str">
        <f t="array" ref="C216">IFNA(VLOOKUP(B216,{'DATA DE CONTROLES Y LLAVES'!I$6:I1000,'DATA DE CONTROLES Y LLAVES'!F$6:F1000},2,FALSE),"")</f>
        <v>MARIANGEL</v>
      </c>
      <c r="D216" s="185" t="str">
        <f t="array" ref="D216">IFNA(VLOOKUP(B216,{'DATA DE CONTROLES Y LLAVES'!I$6:I1000,'DATA DE CONTROLES Y LLAVES'!G$6:G1000},2,FALSE),"")</f>
        <v>RUIZ</v>
      </c>
      <c r="E216" s="53" t="s">
        <v>22</v>
      </c>
      <c r="F216" s="187"/>
      <c r="G216" s="187"/>
    </row>
    <row r="217">
      <c r="B217" s="188" t="s">
        <v>1556</v>
      </c>
      <c r="C217" s="185" t="str">
        <f t="array" ref="C217">IFNA(VLOOKUP(B217,{'DATA DE CONTROLES Y LLAVES'!I$6:I1000,'DATA DE CONTROLES Y LLAVES'!F$6:F1000},2,FALSE),"")</f>
        <v>MICHAEL</v>
      </c>
      <c r="D217" s="185" t="str">
        <f t="array" ref="D217">IFNA(VLOOKUP(B217,{'DATA DE CONTROLES Y LLAVES'!I$6:I1000,'DATA DE CONTROLES Y LLAVES'!G$6:G1000},2,FALSE),"")</f>
        <v>TERIUS</v>
      </c>
      <c r="E217" s="53" t="s">
        <v>22</v>
      </c>
      <c r="F217" s="187"/>
      <c r="G217" s="187"/>
    </row>
    <row r="218">
      <c r="B218" s="188" t="s">
        <v>1557</v>
      </c>
      <c r="C218" s="185" t="str">
        <f t="array" ref="C218">IFNA(VLOOKUP(B218,{'DATA DE CONTROLES Y LLAVES'!I$6:I1000,'DATA DE CONTROLES Y LLAVES'!F$6:F1000},2,FALSE),"")</f>
        <v>YORDANKA</v>
      </c>
      <c r="D218" s="185" t="str">
        <f t="array" ref="D218">IFNA(VLOOKUP(B218,{'DATA DE CONTROLES Y LLAVES'!I$6:I1000,'DATA DE CONTROLES Y LLAVES'!G$6:G1000},2,FALSE),"")</f>
        <v>QUIJANOS</v>
      </c>
      <c r="E218" s="53" t="s">
        <v>47</v>
      </c>
      <c r="F218" s="187"/>
      <c r="G218" s="187"/>
    </row>
    <row r="219">
      <c r="B219" s="188" t="s">
        <v>1558</v>
      </c>
      <c r="C219" s="185" t="str">
        <f t="array" ref="C219">IFNA(VLOOKUP(B219,{'DATA DE CONTROLES Y LLAVES'!I$6:I1000,'DATA DE CONTROLES Y LLAVES'!F$6:F1000},2,FALSE),"")</f>
        <v>ERICH </v>
      </c>
      <c r="D219" s="185" t="str">
        <f t="array" ref="D219">IFNA(VLOOKUP(B219,{'DATA DE CONTROLES Y LLAVES'!I$6:I1000,'DATA DE CONTROLES Y LLAVES'!G$6:G1000},2,FALSE),"")</f>
        <v>PEÑA</v>
      </c>
      <c r="E219" s="53" t="s">
        <v>22</v>
      </c>
      <c r="F219" s="187"/>
      <c r="G219" s="187"/>
    </row>
    <row r="220">
      <c r="B220" s="188" t="s">
        <v>1559</v>
      </c>
      <c r="C220" s="185" t="str">
        <f t="array" ref="C220">IFNA(VLOOKUP(B220,{'DATA DE CONTROLES Y LLAVES'!I$6:I1000,'DATA DE CONTROLES Y LLAVES'!F$6:F1000},2,FALSE),"")</f>
        <v>CARLOS</v>
      </c>
      <c r="D220" s="185" t="str">
        <f t="array" ref="D220">IFNA(VLOOKUP(B220,{'DATA DE CONTROLES Y LLAVES'!I$6:I1000,'DATA DE CONTROLES Y LLAVES'!G$6:G1000},2,FALSE),"")</f>
        <v>MORALES</v>
      </c>
      <c r="E220" s="53" t="s">
        <v>22</v>
      </c>
      <c r="F220" s="187"/>
      <c r="G220" s="187"/>
    </row>
    <row r="221">
      <c r="B221" s="188" t="s">
        <v>1560</v>
      </c>
      <c r="C221" s="185" t="str">
        <f t="array" ref="C221">IFNA(VLOOKUP(B221,{'DATA DE CONTROLES Y LLAVES'!I$6:I1000,'DATA DE CONTROLES Y LLAVES'!F$6:F1000},2,FALSE),"")</f>
        <v>JUAN</v>
      </c>
      <c r="D221" s="185" t="str">
        <f t="array" ref="D221">IFNA(VLOOKUP(B221,{'DATA DE CONTROLES Y LLAVES'!I$6:I1000,'DATA DE CONTROLES Y LLAVES'!G$6:G1000},2,FALSE),"")</f>
        <v>VALDEZ</v>
      </c>
      <c r="E221" s="53" t="s">
        <v>47</v>
      </c>
      <c r="F221" s="187"/>
      <c r="G221" s="187"/>
    </row>
    <row r="222">
      <c r="B222" s="188" t="s">
        <v>1561</v>
      </c>
      <c r="C222" s="185" t="str">
        <f t="array" ref="C222">IFNA(VLOOKUP(B222,{'DATA DE CONTROLES Y LLAVES'!I$6:I1000,'DATA DE CONTROLES Y LLAVES'!F$6:F1000},2,FALSE),"")</f>
        <v>GUSTAVO</v>
      </c>
      <c r="D222" s="185" t="str">
        <f t="array" ref="D222">IFNA(VLOOKUP(B222,{'DATA DE CONTROLES Y LLAVES'!I$6:I1000,'DATA DE CONTROLES Y LLAVES'!G$6:G1000},2,FALSE),"")</f>
        <v>MERENTE</v>
      </c>
      <c r="E222" s="53" t="s">
        <v>47</v>
      </c>
      <c r="F222" s="187"/>
      <c r="G222" s="187"/>
    </row>
    <row r="223">
      <c r="B223" s="188" t="s">
        <v>1562</v>
      </c>
      <c r="C223" s="185" t="str">
        <f t="array" ref="C223">IFNA(VLOOKUP(B223,{'DATA DE CONTROLES Y LLAVES'!I$6:I1000,'DATA DE CONTROLES Y LLAVES'!F$6:F1000},2,FALSE),"")</f>
        <v>JOSE </v>
      </c>
      <c r="D223" s="185" t="str">
        <f t="array" ref="D223">IFNA(VLOOKUP(B223,{'DATA DE CONTROLES Y LLAVES'!I$6:I1000,'DATA DE CONTROLES Y LLAVES'!G$6:G1000},2,FALSE),"")</f>
        <v>CARVAJAL</v>
      </c>
      <c r="E223" s="53" t="s">
        <v>87</v>
      </c>
      <c r="F223" s="187"/>
      <c r="G223" s="187"/>
    </row>
    <row r="224">
      <c r="B224" s="188" t="s">
        <v>1563</v>
      </c>
      <c r="C224" s="185" t="str">
        <f t="array" ref="C224">IFNA(VLOOKUP(B224,{'DATA DE CONTROLES Y LLAVES'!I$6:I1000,'DATA DE CONTROLES Y LLAVES'!F$6:F1000},2,FALSE),"")</f>
        <v>MIREYA</v>
      </c>
      <c r="D224" s="185" t="str">
        <f t="array" ref="D224">IFNA(VLOOKUP(B224,{'DATA DE CONTROLES Y LLAVES'!I$6:I1000,'DATA DE CONTROLES Y LLAVES'!G$6:G1000},2,FALSE),"")</f>
        <v>PEÑA</v>
      </c>
      <c r="E224" s="53" t="s">
        <v>47</v>
      </c>
      <c r="F224" s="187"/>
      <c r="G224" s="187"/>
    </row>
    <row r="225">
      <c r="B225" s="188" t="s">
        <v>1564</v>
      </c>
      <c r="C225" s="185" t="str">
        <f t="array" ref="C225">IFNA(VLOOKUP(B225,{'DATA DE CONTROLES Y LLAVES'!I$6:I1000,'DATA DE CONTROLES Y LLAVES'!F$6:F1000},2,FALSE),"")</f>
        <v>DAYANA</v>
      </c>
      <c r="D225" s="185" t="str">
        <f t="array" ref="D225">IFNA(VLOOKUP(B225,{'DATA DE CONTROLES Y LLAVES'!I$6:I1000,'DATA DE CONTROLES Y LLAVES'!G$6:G1000},2,FALSE),"")</f>
        <v>PEÑA</v>
      </c>
      <c r="E225" s="53" t="s">
        <v>47</v>
      </c>
      <c r="F225" s="187"/>
      <c r="G225" s="187"/>
    </row>
    <row r="226">
      <c r="B226" s="188" t="s">
        <v>1565</v>
      </c>
      <c r="C226" s="185" t="str">
        <f t="array" ref="C226">IFNA(VLOOKUP(B226,{'DATA DE CONTROLES Y LLAVES'!I$6:I1000,'DATA DE CONTROLES Y LLAVES'!F$6:F1000},2,FALSE),"")</f>
        <v>KAREN</v>
      </c>
      <c r="D226" s="185" t="str">
        <f t="array" ref="D226">IFNA(VLOOKUP(B226,{'DATA DE CONTROLES Y LLAVES'!I$6:I1000,'DATA DE CONTROLES Y LLAVES'!G$6:G1000},2,FALSE),"")</f>
        <v>GRAU</v>
      </c>
      <c r="E226" s="53" t="s">
        <v>47</v>
      </c>
      <c r="F226" s="187"/>
      <c r="G226" s="187"/>
    </row>
    <row r="227">
      <c r="B227" s="188" t="s">
        <v>1566</v>
      </c>
      <c r="C227" s="185" t="str">
        <f t="array" ref="C227">IFNA(VLOOKUP(B227,{'DATA DE CONTROLES Y LLAVES'!I$6:I1000,'DATA DE CONTROLES Y LLAVES'!F$6:F1000},2,FALSE),"")</f>
        <v>JACKELIN</v>
      </c>
      <c r="D227" s="185" t="str">
        <f t="array" ref="D227">IFNA(VLOOKUP(B227,{'DATA DE CONTROLES Y LLAVES'!I$6:I1000,'DATA DE CONTROLES Y LLAVES'!G$6:G1000},2,FALSE),"")</f>
        <v>CALDERÓN</v>
      </c>
      <c r="E227" s="53" t="s">
        <v>47</v>
      </c>
      <c r="F227" s="187"/>
      <c r="G227" s="187"/>
    </row>
    <row r="228">
      <c r="B228" s="188" t="s">
        <v>1567</v>
      </c>
      <c r="C228" s="185" t="str">
        <f t="array" ref="C228">IFNA(VLOOKUP(B228,{'DATA DE CONTROLES Y LLAVES'!I$6:I1000,'DATA DE CONTROLES Y LLAVES'!F$6:F1000},2,FALSE),"")</f>
        <v>ELIZABETH</v>
      </c>
      <c r="D228" s="185" t="str">
        <f t="array" ref="D228">IFNA(VLOOKUP(B228,{'DATA DE CONTROLES Y LLAVES'!I$6:I1000,'DATA DE CONTROLES Y LLAVES'!G$6:G1000},2,FALSE),"")</f>
        <v>MOCÓ</v>
      </c>
      <c r="E228" s="53" t="s">
        <v>47</v>
      </c>
      <c r="F228" s="187"/>
      <c r="G228" s="187"/>
    </row>
    <row r="229">
      <c r="B229" s="188" t="s">
        <v>1568</v>
      </c>
      <c r="C229" s="185" t="str">
        <f t="array" ref="C229">IFNA(VLOOKUP(B229,{'DATA DE CONTROLES Y LLAVES'!I$6:I1000,'DATA DE CONTROLES Y LLAVES'!F$6:F1000},2,FALSE),"")</f>
        <v>NELSON</v>
      </c>
      <c r="D229" s="185" t="str">
        <f t="array" ref="D229">IFNA(VLOOKUP(B229,{'DATA DE CONTROLES Y LLAVES'!I$6:I1000,'DATA DE CONTROLES Y LLAVES'!G$6:G1000},2,FALSE),"")</f>
        <v>ISTURIZ</v>
      </c>
      <c r="E229" s="53" t="s">
        <v>47</v>
      </c>
      <c r="F229" s="187"/>
      <c r="G229" s="187"/>
    </row>
    <row r="230">
      <c r="B230" s="188" t="s">
        <v>1569</v>
      </c>
      <c r="C230" s="185" t="str">
        <f t="array" ref="C230">IFNA(VLOOKUP(B230,{'DATA DE CONTROLES Y LLAVES'!I$6:I1000,'DATA DE CONTROLES Y LLAVES'!F$6:F1000},2,FALSE),"")</f>
        <v>NELSON</v>
      </c>
      <c r="D230" s="185" t="str">
        <f t="array" ref="D230">IFNA(VLOOKUP(B230,{'DATA DE CONTROLES Y LLAVES'!I$6:I1000,'DATA DE CONTROLES Y LLAVES'!G$6:G1000},2,FALSE),"")</f>
        <v>ISTURIZ (HIJO)</v>
      </c>
      <c r="E230" s="53" t="s">
        <v>22</v>
      </c>
      <c r="F230" s="187"/>
      <c r="G230" s="187"/>
    </row>
    <row r="231">
      <c r="B231" s="188" t="s">
        <v>1570</v>
      </c>
      <c r="C231" s="185" t="str">
        <f t="array" ref="C231">IFNA(VLOOKUP(B231,{'DATA DE CONTROLES Y LLAVES'!I$6:I1000,'DATA DE CONTROLES Y LLAVES'!F$6:F1000},2,FALSE),"")</f>
        <v>MARBELLA</v>
      </c>
      <c r="D231" s="185" t="str">
        <f t="array" ref="D231">IFNA(VLOOKUP(B231,{'DATA DE CONTROLES Y LLAVES'!I$6:I1000,'DATA DE CONTROLES Y LLAVES'!G$6:G1000},2,FALSE),"")</f>
        <v>ROMERO</v>
      </c>
      <c r="E231" s="53" t="s">
        <v>47</v>
      </c>
      <c r="F231" s="187"/>
      <c r="G231" s="187"/>
    </row>
    <row r="232">
      <c r="B232" s="188" t="s">
        <v>1571</v>
      </c>
      <c r="C232" s="185" t="str">
        <f t="array" ref="C232">IFNA(VLOOKUP(B232,{'DATA DE CONTROLES Y LLAVES'!I$6:I1000,'DATA DE CONTROLES Y LLAVES'!F$6:F1000},2,FALSE),"")</f>
        <v>KAREN</v>
      </c>
      <c r="D232" s="185" t="str">
        <f t="array" ref="D232">IFNA(VLOOKUP(B232,{'DATA DE CONTROLES Y LLAVES'!I$6:I1000,'DATA DE CONTROLES Y LLAVES'!G$6:G1000},2,FALSE),"")</f>
        <v>CHIRINOS</v>
      </c>
      <c r="E232" s="53" t="s">
        <v>22</v>
      </c>
      <c r="F232" s="187"/>
      <c r="G232" s="187"/>
    </row>
    <row r="233">
      <c r="B233" s="188" t="s">
        <v>1572</v>
      </c>
      <c r="C233" s="185" t="str">
        <f t="array" ref="C233">IFNA(VLOOKUP(B233,{'DATA DE CONTROLES Y LLAVES'!I$6:I1000,'DATA DE CONTROLES Y LLAVES'!F$6:F1000},2,FALSE),"")</f>
        <v>KEIZLER</v>
      </c>
      <c r="D233" s="185" t="str">
        <f t="array" ref="D233">IFNA(VLOOKUP(B233,{'DATA DE CONTROLES Y LLAVES'!I$6:I1000,'DATA DE CONTROLES Y LLAVES'!G$6:G1000},2,FALSE),"")</f>
        <v>URBINA</v>
      </c>
      <c r="E233" s="53" t="s">
        <v>47</v>
      </c>
      <c r="F233" s="187"/>
      <c r="G233" s="187"/>
    </row>
    <row r="234">
      <c r="B234" s="188" t="s">
        <v>1573</v>
      </c>
      <c r="C234" s="185" t="str">
        <f t="array" ref="C234">IFNA(VLOOKUP(B234,{'DATA DE CONTROLES Y LLAVES'!I$6:I1000,'DATA DE CONTROLES Y LLAVES'!F$6:F1000},2,FALSE),"")</f>
        <v/>
      </c>
      <c r="D234" s="185" t="str">
        <f t="array" ref="D234">IFNA(VLOOKUP(B234,{'DATA DE CONTROLES Y LLAVES'!I$6:I1000,'DATA DE CONTROLES Y LLAVES'!G$6:G1000},2,FALSE),"")</f>
        <v/>
      </c>
      <c r="E234" s="53" t="s">
        <v>47</v>
      </c>
      <c r="F234" s="187"/>
      <c r="G234" s="187"/>
    </row>
    <row r="235">
      <c r="B235" s="188" t="s">
        <v>1574</v>
      </c>
      <c r="C235" s="185" t="str">
        <f t="array" ref="C235">IFNA(VLOOKUP(B235,{'DATA DE CONTROLES Y LLAVES'!I$6:I1000,'DATA DE CONTROLES Y LLAVES'!F$6:F1000},2,FALSE),"")</f>
        <v>PEDRO (HIJO)</v>
      </c>
      <c r="D235" s="185" t="str">
        <f t="array" ref="D235">IFNA(VLOOKUP(B235,{'DATA DE CONTROLES Y LLAVES'!I$6:I1000,'DATA DE CONTROLES Y LLAVES'!G$6:G1000},2,FALSE),"")</f>
        <v>PIÑATE</v>
      </c>
      <c r="E235" s="53" t="s">
        <v>22</v>
      </c>
      <c r="F235" s="187"/>
      <c r="G235" s="187"/>
    </row>
    <row r="236">
      <c r="B236" s="188" t="s">
        <v>1575</v>
      </c>
      <c r="C236" s="185" t="str">
        <f t="array" ref="C236">IFNA(VLOOKUP(B236,{'DATA DE CONTROLES Y LLAVES'!I$6:I1000,'DATA DE CONTROLES Y LLAVES'!F$6:F1000},2,FALSE),"")</f>
        <v/>
      </c>
      <c r="D236" s="185" t="str">
        <f t="array" ref="D236">IFNA(VLOOKUP(B236,{'DATA DE CONTROLES Y LLAVES'!I$6:I1000,'DATA DE CONTROLES Y LLAVES'!G$6:G1000},2,FALSE),"")</f>
        <v/>
      </c>
      <c r="E236" s="53" t="s">
        <v>47</v>
      </c>
      <c r="F236" s="187"/>
      <c r="G236" s="187"/>
    </row>
    <row r="237">
      <c r="B237" s="188" t="s">
        <v>1576</v>
      </c>
      <c r="C237" s="185" t="str">
        <f t="array" ref="C237">IFNA(VLOOKUP(B237,{'DATA DE CONTROLES Y LLAVES'!I$6:I1000,'DATA DE CONTROLES Y LLAVES'!F$6:F1000},2,FALSE),"")</f>
        <v>OLIDER</v>
      </c>
      <c r="D237" s="185" t="str">
        <f t="array" ref="D237">IFNA(VLOOKUP(B237,{'DATA DE CONTROLES Y LLAVES'!I$6:I1000,'DATA DE CONTROLES Y LLAVES'!G$6:G1000},2,FALSE),"")</f>
        <v>CONTRERAS</v>
      </c>
      <c r="E237" s="53" t="s">
        <v>22</v>
      </c>
      <c r="F237" s="187"/>
      <c r="G237" s="187"/>
    </row>
    <row r="238">
      <c r="B238" s="188" t="s">
        <v>1577</v>
      </c>
      <c r="C238" s="185" t="str">
        <f t="array" ref="C238">IFNA(VLOOKUP(B238,{'DATA DE CONTROLES Y LLAVES'!I$6:I1000,'DATA DE CONTROLES Y LLAVES'!F$6:F1000},2,FALSE),"")</f>
        <v>WILLIAN</v>
      </c>
      <c r="D238" s="185" t="str">
        <f t="array" ref="D238">IFNA(VLOOKUP(B238,{'DATA DE CONTROLES Y LLAVES'!I$6:I1000,'DATA DE CONTROLES Y LLAVES'!G$6:G1000},2,FALSE),"")</f>
        <v>IBARRA</v>
      </c>
      <c r="E238" s="53" t="s">
        <v>22</v>
      </c>
      <c r="F238" s="187"/>
      <c r="G238" s="187"/>
    </row>
    <row r="239">
      <c r="B239" s="188" t="s">
        <v>1578</v>
      </c>
      <c r="C239" s="185" t="str">
        <f t="array" ref="C239">IFNA(VLOOKUP(B239,{'DATA DE CONTROLES Y LLAVES'!I$6:I1000,'DATA DE CONTROLES Y LLAVES'!F$6:F1000},2,FALSE),"")</f>
        <v/>
      </c>
      <c r="D239" s="185" t="str">
        <f t="array" ref="D239">IFNA(VLOOKUP(B239,{'DATA DE CONTROLES Y LLAVES'!I$6:I1000,'DATA DE CONTROLES Y LLAVES'!G$6:G1000},2,FALSE),"")</f>
        <v/>
      </c>
      <c r="E239" s="53" t="s">
        <v>47</v>
      </c>
      <c r="F239" s="187"/>
      <c r="G239" s="187"/>
    </row>
    <row r="240">
      <c r="B240" s="188" t="s">
        <v>1579</v>
      </c>
      <c r="C240" s="185" t="str">
        <f t="array" ref="C240">IFNA(VLOOKUP(B240,{'DATA DE CONTROLES Y LLAVES'!I$6:I1000,'DATA DE CONTROLES Y LLAVES'!F$6:F1000},2,FALSE),"")</f>
        <v>JOSÉ</v>
      </c>
      <c r="D240" s="185" t="str">
        <f t="array" ref="D240">IFNA(VLOOKUP(B240,{'DATA DE CONTROLES Y LLAVES'!I$6:I1000,'DATA DE CONTROLES Y LLAVES'!G$6:G1000},2,FALSE),"")</f>
        <v>RUIZ</v>
      </c>
      <c r="E240" s="53" t="s">
        <v>22</v>
      </c>
      <c r="F240" s="187"/>
      <c r="G240" s="187"/>
    </row>
    <row r="241">
      <c r="B241" s="188" t="s">
        <v>1580</v>
      </c>
      <c r="C241" s="185" t="str">
        <f t="array" ref="C241">IFNA(VLOOKUP(B241,{'DATA DE CONTROLES Y LLAVES'!I$6:I1000,'DATA DE CONTROLES Y LLAVES'!F$6:F1000},2,FALSE),"")</f>
        <v/>
      </c>
      <c r="D241" s="185" t="str">
        <f t="array" ref="D241">IFNA(VLOOKUP(B241,{'DATA DE CONTROLES Y LLAVES'!I$6:I1000,'DATA DE CONTROLES Y LLAVES'!G$6:G1000},2,FALSE),"")</f>
        <v/>
      </c>
      <c r="E241" s="53" t="s">
        <v>22</v>
      </c>
      <c r="F241" s="187"/>
      <c r="G241" s="187"/>
    </row>
    <row r="242">
      <c r="B242" s="188" t="s">
        <v>1581</v>
      </c>
      <c r="C242" s="185" t="str">
        <f t="array" ref="C242">IFNA(VLOOKUP(B242,{'DATA DE CONTROLES Y LLAVES'!I$6:I1000,'DATA DE CONTROLES Y LLAVES'!F$6:F1000},2,FALSE),"")</f>
        <v/>
      </c>
      <c r="D242" s="185" t="str">
        <f t="array" ref="D242">IFNA(VLOOKUP(B242,{'DATA DE CONTROLES Y LLAVES'!I$6:I1000,'DATA DE CONTROLES Y LLAVES'!G$6:G1000},2,FALSE),"")</f>
        <v/>
      </c>
      <c r="E242" s="53" t="s">
        <v>22</v>
      </c>
      <c r="F242" s="187"/>
      <c r="G242" s="187"/>
    </row>
    <row r="243">
      <c r="B243" s="188" t="s">
        <v>1582</v>
      </c>
      <c r="C243" s="185" t="str">
        <f t="array" ref="C243">IFNA(VLOOKUP(B243,{'DATA DE CONTROLES Y LLAVES'!I$6:I1000,'DATA DE CONTROLES Y LLAVES'!F$6:F1000},2,FALSE),"")</f>
        <v/>
      </c>
      <c r="D243" s="185" t="str">
        <f t="array" ref="D243">IFNA(VLOOKUP(B243,{'DATA DE CONTROLES Y LLAVES'!I$6:I1000,'DATA DE CONTROLES Y LLAVES'!G$6:G1000},2,FALSE),"")</f>
        <v/>
      </c>
      <c r="E243" s="53" t="s">
        <v>47</v>
      </c>
      <c r="F243" s="187"/>
      <c r="G243" s="187"/>
    </row>
    <row r="244">
      <c r="B244" s="188" t="s">
        <v>1583</v>
      </c>
      <c r="C244" s="185" t="str">
        <f t="array" ref="C244">IFNA(VLOOKUP(B244,{'DATA DE CONTROLES Y LLAVES'!I$6:I1000,'DATA DE CONTROLES Y LLAVES'!F$6:F1000},2,FALSE),"")</f>
        <v>JOSÉ</v>
      </c>
      <c r="D244" s="185" t="str">
        <f t="array" ref="D244">IFNA(VLOOKUP(B244,{'DATA DE CONTROLES Y LLAVES'!I$6:I1000,'DATA DE CONTROLES Y LLAVES'!G$6:G1000},2,FALSE),"")</f>
        <v>VÁSQUEZ</v>
      </c>
      <c r="E244" s="53" t="s">
        <v>22</v>
      </c>
      <c r="F244" s="187"/>
      <c r="G244" s="187"/>
    </row>
    <row r="245">
      <c r="B245" s="188" t="s">
        <v>1584</v>
      </c>
      <c r="C245" s="185" t="str">
        <f t="array" ref="C245">IFNA(VLOOKUP(B245,{'DATA DE CONTROLES Y LLAVES'!I$6:I1000,'DATA DE CONTROLES Y LLAVES'!F$6:F1000},2,FALSE),"")</f>
        <v>REINALDO</v>
      </c>
      <c r="D245" s="185" t="str">
        <f t="array" ref="D245">IFNA(VLOOKUP(B245,{'DATA DE CONTROLES Y LLAVES'!I$6:I1000,'DATA DE CONTROLES Y LLAVES'!G$6:G1000},2,FALSE),"")</f>
        <v>PAMELÁ</v>
      </c>
      <c r="E245" s="53" t="s">
        <v>22</v>
      </c>
      <c r="F245" s="187"/>
      <c r="G245" s="187"/>
    </row>
    <row r="246">
      <c r="B246" s="188" t="s">
        <v>1585</v>
      </c>
      <c r="C246" s="185" t="str">
        <f t="array" ref="C246">IFNA(VLOOKUP(B246,{'DATA DE CONTROLES Y LLAVES'!I$6:I1000,'DATA DE CONTROLES Y LLAVES'!F$6:F1000},2,FALSE),"")</f>
        <v/>
      </c>
      <c r="D246" s="185" t="str">
        <f t="array" ref="D246">IFNA(VLOOKUP(B246,{'DATA DE CONTROLES Y LLAVES'!I$6:I1000,'DATA DE CONTROLES Y LLAVES'!G$6:G1000},2,FALSE),"")</f>
        <v/>
      </c>
      <c r="E246" s="53" t="s">
        <v>47</v>
      </c>
      <c r="F246" s="187"/>
      <c r="G246" s="187"/>
    </row>
    <row r="247">
      <c r="B247" s="188" t="s">
        <v>1586</v>
      </c>
      <c r="C247" s="185" t="str">
        <f t="array" ref="C247">IFNA(VLOOKUP(B247,{'DATA DE CONTROLES Y LLAVES'!I$6:I1000,'DATA DE CONTROLES Y LLAVES'!F$6:F1000},2,FALSE),"")</f>
        <v>GREGORIO</v>
      </c>
      <c r="D247" s="185" t="str">
        <f t="array" ref="D247">IFNA(VLOOKUP(B247,{'DATA DE CONTROLES Y LLAVES'!I$6:I1000,'DATA DE CONTROLES Y LLAVES'!G$6:G1000},2,FALSE),"")</f>
        <v>ZAMBRANO</v>
      </c>
      <c r="E247" s="53" t="s">
        <v>22</v>
      </c>
      <c r="F247" s="187"/>
      <c r="G247" s="187"/>
    </row>
    <row r="248">
      <c r="B248" s="188" t="s">
        <v>1587</v>
      </c>
      <c r="C248" s="185" t="str">
        <f t="array" ref="C248">IFNA(VLOOKUP(B248,{'DATA DE CONTROLES Y LLAVES'!I$6:I1000,'DATA DE CONTROLES Y LLAVES'!F$6:F1000},2,FALSE),"")</f>
        <v>ARTURO</v>
      </c>
      <c r="D248" s="185" t="str">
        <f t="array" ref="D248">IFNA(VLOOKUP(B248,{'DATA DE CONTROLES Y LLAVES'!I$6:I1000,'DATA DE CONTROLES Y LLAVES'!G$6:G1000},2,FALSE),"")</f>
        <v>MADURO</v>
      </c>
      <c r="E248" s="53" t="s">
        <v>47</v>
      </c>
      <c r="F248" s="187"/>
      <c r="G248" s="187"/>
    </row>
    <row r="249">
      <c r="B249" s="188" t="s">
        <v>1588</v>
      </c>
      <c r="C249" s="185" t="str">
        <f t="array" ref="C249">IFNA(VLOOKUP(B249,{'DATA DE CONTROLES Y LLAVES'!I$6:I1000,'DATA DE CONTROLES Y LLAVES'!F$6:F1000},2,FALSE),"")</f>
        <v>MAYDE</v>
      </c>
      <c r="D249" s="185" t="str">
        <f t="array" ref="D249">IFNA(VLOOKUP(B249,{'DATA DE CONTROLES Y LLAVES'!I$6:I1000,'DATA DE CONTROLES Y LLAVES'!G$6:G1000},2,FALSE),"")</f>
        <v>MADURO</v>
      </c>
      <c r="E249" s="53" t="s">
        <v>22</v>
      </c>
      <c r="F249" s="187"/>
      <c r="G249" s="187"/>
    </row>
    <row r="250">
      <c r="B250" s="188" t="s">
        <v>1589</v>
      </c>
      <c r="C250" s="185" t="str">
        <f t="array" ref="C250">IFNA(VLOOKUP(B250,{'DATA DE CONTROLES Y LLAVES'!I$6:I1000,'DATA DE CONTROLES Y LLAVES'!F$6:F1000},2,FALSE),"")</f>
        <v>CARLOS ISAAC</v>
      </c>
      <c r="D250" s="185" t="str">
        <f t="array" ref="D250">IFNA(VLOOKUP(B250,{'DATA DE CONTROLES Y LLAVES'!I$6:I1000,'DATA DE CONTROLES Y LLAVES'!G$6:G1000},2,FALSE),"")</f>
        <v>PIÑA</v>
      </c>
      <c r="E250" s="53" t="s">
        <v>22</v>
      </c>
      <c r="F250" s="187"/>
      <c r="G250" s="187"/>
    </row>
    <row r="251">
      <c r="B251" s="188" t="s">
        <v>1590</v>
      </c>
      <c r="C251" s="185" t="str">
        <f t="array" ref="C251">IFNA(VLOOKUP(B251,{'DATA DE CONTROLES Y LLAVES'!I$6:I1000,'DATA DE CONTROLES Y LLAVES'!F$6:F1000},2,FALSE),"")</f>
        <v>ROSA</v>
      </c>
      <c r="D251" s="185" t="str">
        <f t="array" ref="D251">IFNA(VLOOKUP(B251,{'DATA DE CONTROLES Y LLAVES'!I$6:I1000,'DATA DE CONTROLES Y LLAVES'!G$6:G1000},2,FALSE),"")</f>
        <v>RICO</v>
      </c>
      <c r="E251" s="53" t="s">
        <v>22</v>
      </c>
      <c r="F251" s="187"/>
      <c r="G251" s="187"/>
    </row>
    <row r="252">
      <c r="B252" s="188" t="s">
        <v>1591</v>
      </c>
      <c r="C252" s="185" t="str">
        <f t="array" ref="C252">IFNA(VLOOKUP(B252,{'DATA DE CONTROLES Y LLAVES'!I$6:I1000,'DATA DE CONTROLES Y LLAVES'!F$6:F1000},2,FALSE),"")</f>
        <v>ÁNGEL</v>
      </c>
      <c r="D252" s="185" t="str">
        <f t="array" ref="D252">IFNA(VLOOKUP(B252,{'DATA DE CONTROLES Y LLAVES'!I$6:I1000,'DATA DE CONTROLES Y LLAVES'!G$6:G1000},2,FALSE),"")</f>
        <v>RICO</v>
      </c>
      <c r="E252" s="53" t="s">
        <v>22</v>
      </c>
      <c r="F252" s="186" t="s">
        <v>1592</v>
      </c>
      <c r="G252" s="187"/>
    </row>
    <row r="253">
      <c r="B253" s="188" t="s">
        <v>1593</v>
      </c>
      <c r="C253" s="185" t="str">
        <f t="array" ref="C253">IFNA(VLOOKUP(B253,{'DATA DE CONTROLES Y LLAVES'!I$6:I1000,'DATA DE CONTROLES Y LLAVES'!F$6:F1000},2,FALSE),"")</f>
        <v>NATHALY</v>
      </c>
      <c r="D253" s="185" t="str">
        <f t="array" ref="D253">IFNA(VLOOKUP(B253,{'DATA DE CONTROLES Y LLAVES'!I$6:I1000,'DATA DE CONTROLES Y LLAVES'!G$6:G1000},2,FALSE),"")</f>
        <v>MENDOZA</v>
      </c>
      <c r="E253" s="53" t="s">
        <v>22</v>
      </c>
      <c r="F253" s="187"/>
      <c r="G253" s="187"/>
    </row>
    <row r="254">
      <c r="B254" s="188" t="s">
        <v>1594</v>
      </c>
      <c r="C254" s="185" t="str">
        <f t="array" ref="C254">IFNA(VLOOKUP(B254,{'DATA DE CONTROLES Y LLAVES'!I$6:I1000,'DATA DE CONTROLES Y LLAVES'!F$6:F1000},2,FALSE),"")</f>
        <v>AUGUSTO</v>
      </c>
      <c r="D254" s="185" t="str">
        <f t="array" ref="D254">IFNA(VLOOKUP(B254,{'DATA DE CONTROLES Y LLAVES'!I$6:I1000,'DATA DE CONTROLES Y LLAVES'!G$6:G1000},2,FALSE),"")</f>
        <v>MALUENGA</v>
      </c>
      <c r="E254" s="53" t="s">
        <v>22</v>
      </c>
      <c r="F254" s="186" t="s">
        <v>1595</v>
      </c>
      <c r="G254" s="187"/>
    </row>
    <row r="255">
      <c r="F255" s="176"/>
      <c r="G255" s="176"/>
    </row>
    <row r="256">
      <c r="F256" s="176"/>
      <c r="G256" s="176"/>
    </row>
    <row r="257">
      <c r="B257" s="189" t="s">
        <v>1596</v>
      </c>
      <c r="C257" s="178"/>
      <c r="D257" s="178"/>
      <c r="E257" s="179"/>
      <c r="F257" s="176"/>
      <c r="G257" s="176"/>
    </row>
    <row r="258">
      <c r="B258" s="190" t="s">
        <v>1340</v>
      </c>
      <c r="C258" s="181" t="s">
        <v>1341</v>
      </c>
      <c r="D258" s="181" t="s">
        <v>1342</v>
      </c>
      <c r="E258" s="191" t="s">
        <v>1343</v>
      </c>
      <c r="F258" s="176"/>
      <c r="G258" s="176"/>
    </row>
    <row r="259">
      <c r="B259" s="192" t="str">
        <f t="shared" ref="B259:B260" si="1">SUBSTITUTE(B5,"A","B")</f>
        <v>1B</v>
      </c>
      <c r="C259" s="185" t="str">
        <f t="array" ref="C259">IFNA(VLOOKUP(B259,{'DATA DE CONTROLES Y LLAVES'!I$6:I1000,'DATA DE CONTROLES Y LLAVES'!F$6:F1000},2,FALSE),"")</f>
        <v/>
      </c>
      <c r="D259" s="185" t="str">
        <f t="array" ref="D259">IFNA(VLOOKUP(B259,{'DATA DE CONTROLES Y LLAVES'!I$6:I1000,'DATA DE CONTROLES Y LLAVES'!G$6:G1000},2,FALSE),"")</f>
        <v/>
      </c>
      <c r="E259" s="13" t="s">
        <v>87</v>
      </c>
      <c r="F259" s="176"/>
      <c r="G259" s="176"/>
    </row>
    <row r="260">
      <c r="B260" s="192" t="str">
        <f t="shared" si="1"/>
        <v>2B</v>
      </c>
      <c r="C260" s="185" t="str">
        <f t="array" ref="C260">IFNA(VLOOKUP(B260,{'DATA DE CONTROLES Y LLAVES'!I$6:I1000,'DATA DE CONTROLES Y LLAVES'!F$6:F1000},2,FALSE),"")</f>
        <v/>
      </c>
      <c r="D260" s="185" t="str">
        <f t="array" ref="D260">IFNA(VLOOKUP(B260,{'DATA DE CONTROLES Y LLAVES'!I$6:I1000,'DATA DE CONTROLES Y LLAVES'!G$6:G1000},2,FALSE),"")</f>
        <v/>
      </c>
      <c r="E260" s="13" t="s">
        <v>22</v>
      </c>
      <c r="F260" s="176"/>
      <c r="G260" s="176"/>
    </row>
    <row r="261">
      <c r="B261" s="192" t="str">
        <f t="shared" ref="B261:B508" si="2">SUBSTITUTE(B7,"a","B")</f>
        <v>3B</v>
      </c>
      <c r="C261" s="185" t="str">
        <f t="array" ref="C261">IFNA(VLOOKUP(B261,{'DATA DE CONTROLES Y LLAVES'!I$6:I1000,'DATA DE CONTROLES Y LLAVES'!F$6:F1000},2,FALSE),"")</f>
        <v>HELÍMENA</v>
      </c>
      <c r="D261" s="185" t="str">
        <f t="array" ref="D261">IFNA(VLOOKUP(B261,{'DATA DE CONTROLES Y LLAVES'!I$6:I1000,'DATA DE CONTROLES Y LLAVES'!G$6:G1000},2,FALSE),"")</f>
        <v>De Leon</v>
      </c>
      <c r="E261" s="13" t="s">
        <v>22</v>
      </c>
      <c r="F261" s="176"/>
      <c r="G261" s="176"/>
    </row>
    <row r="262">
      <c r="B262" s="192" t="str">
        <f t="shared" si="2"/>
        <v>4B</v>
      </c>
      <c r="C262" s="185" t="str">
        <f t="array" ref="C262">IFNA(VLOOKUP(B262,{'DATA DE CONTROLES Y LLAVES'!I$6:I1000,'DATA DE CONTROLES Y LLAVES'!F$6:F1000},2,FALSE),"")</f>
        <v>DENISE</v>
      </c>
      <c r="D262" s="185" t="str">
        <f t="array" ref="D262">IFNA(VLOOKUP(B262,{'DATA DE CONTROLES Y LLAVES'!I$6:I1000,'DATA DE CONTROLES Y LLAVES'!G$6:G1000},2,FALSE),"")</f>
        <v>ISTURIZ</v>
      </c>
      <c r="E262" s="13" t="s">
        <v>22</v>
      </c>
      <c r="F262" s="176"/>
      <c r="G262" s="176"/>
    </row>
    <row r="263">
      <c r="B263" s="192" t="str">
        <f t="shared" si="2"/>
        <v>5B</v>
      </c>
      <c r="C263" s="185" t="str">
        <f t="array" ref="C263">IFNA(VLOOKUP(B263,{'DATA DE CONTROLES Y LLAVES'!I$6:I1000,'DATA DE CONTROLES Y LLAVES'!F$6:F1000},2,FALSE),"")</f>
        <v>MARLENE</v>
      </c>
      <c r="D263" s="185" t="str">
        <f t="array" ref="D263">IFNA(VLOOKUP(B263,{'DATA DE CONTROLES Y LLAVES'!I$6:I1000,'DATA DE CONTROLES Y LLAVES'!G$6:G1000},2,FALSE),"")</f>
        <v>REBELLON</v>
      </c>
      <c r="E263" s="13" t="s">
        <v>22</v>
      </c>
      <c r="F263" s="176"/>
      <c r="G263" s="176"/>
    </row>
    <row r="264">
      <c r="B264" s="192" t="str">
        <f t="shared" si="2"/>
        <v>6B</v>
      </c>
      <c r="C264" s="185" t="str">
        <f t="array" ref="C264">IFNA(VLOOKUP(B264,{'DATA DE CONTROLES Y LLAVES'!I$6:I1000,'DATA DE CONTROLES Y LLAVES'!F$6:F1000},2,FALSE),"")</f>
        <v>GABRIELA</v>
      </c>
      <c r="D264" s="185" t="str">
        <f t="array" ref="D264">IFNA(VLOOKUP(B264,{'DATA DE CONTROLES Y LLAVES'!I$6:I1000,'DATA DE CONTROLES Y LLAVES'!G$6:G1000},2,FALSE),"")</f>
        <v>ESTANGA</v>
      </c>
      <c r="E264" s="13" t="s">
        <v>47</v>
      </c>
      <c r="F264" s="176"/>
      <c r="G264" s="176"/>
    </row>
    <row r="265">
      <c r="B265" s="192" t="str">
        <f t="shared" si="2"/>
        <v>7B</v>
      </c>
      <c r="C265" s="185" t="str">
        <f t="array" ref="C265">IFNA(VLOOKUP(B265,{'DATA DE CONTROLES Y LLAVES'!I$6:I1000,'DATA DE CONTROLES Y LLAVES'!F$6:F1000},2,FALSE),"")</f>
        <v>JENNY</v>
      </c>
      <c r="D265" s="185" t="str">
        <f t="array" ref="D265">IFNA(VLOOKUP(B265,{'DATA DE CONTROLES Y LLAVES'!I$6:I1000,'DATA DE CONTROLES Y LLAVES'!G$6:G1000},2,FALSE),"")</f>
        <v>ROJAS</v>
      </c>
      <c r="E265" s="13" t="s">
        <v>22</v>
      </c>
      <c r="F265" s="176"/>
      <c r="G265" s="176"/>
    </row>
    <row r="266">
      <c r="B266" s="192" t="str">
        <f t="shared" si="2"/>
        <v>8B</v>
      </c>
      <c r="C266" s="185" t="str">
        <f t="array" ref="C266">IFNA(VLOOKUP(B266,{'DATA DE CONTROLES Y LLAVES'!I$6:I1000,'DATA DE CONTROLES Y LLAVES'!F$6:F1000},2,FALSE),"")</f>
        <v/>
      </c>
      <c r="D266" s="185" t="str">
        <f t="array" ref="D266">IFNA(VLOOKUP(B266,{'DATA DE CONTROLES Y LLAVES'!I$6:I1000,'DATA DE CONTROLES Y LLAVES'!G$6:G1000},2,FALSE),"")</f>
        <v/>
      </c>
      <c r="E266" s="13" t="s">
        <v>47</v>
      </c>
      <c r="F266" s="176"/>
      <c r="G266" s="176"/>
    </row>
    <row r="267">
      <c r="B267" s="192" t="str">
        <f t="shared" si="2"/>
        <v>9B</v>
      </c>
      <c r="C267" s="185" t="str">
        <f t="array" ref="C267">IFNA(VLOOKUP(B267,{'DATA DE CONTROLES Y LLAVES'!I$6:I1000,'DATA DE CONTROLES Y LLAVES'!F$6:F1000},2,FALSE),"")</f>
        <v>GREG </v>
      </c>
      <c r="D267" s="185" t="str">
        <f t="array" ref="D267">IFNA(VLOOKUP(B267,{'DATA DE CONTROLES Y LLAVES'!I$6:I1000,'DATA DE CONTROLES Y LLAVES'!G$6:G1000},2,FALSE),"")</f>
        <v>HERNÁNDEZ </v>
      </c>
      <c r="E267" s="13" t="s">
        <v>47</v>
      </c>
      <c r="F267" s="176"/>
      <c r="G267" s="176"/>
    </row>
    <row r="268">
      <c r="B268" s="192" t="str">
        <f t="shared" si="2"/>
        <v>10B</v>
      </c>
      <c r="C268" s="185" t="str">
        <f t="array" ref="C268">IFNA(VLOOKUP(B268,{'DATA DE CONTROLES Y LLAVES'!I$6:I1000,'DATA DE CONTROLES Y LLAVES'!F$6:F1000},2,FALSE),"")</f>
        <v/>
      </c>
      <c r="D268" s="185" t="str">
        <f t="array" ref="D268">IFNA(VLOOKUP(B268,{'DATA DE CONTROLES Y LLAVES'!I$6:I1000,'DATA DE CONTROLES Y LLAVES'!G$6:G1000},2,FALSE),"")</f>
        <v/>
      </c>
      <c r="E268" s="13" t="s">
        <v>22</v>
      </c>
      <c r="F268" s="176"/>
      <c r="G268" s="176"/>
    </row>
    <row r="269">
      <c r="B269" s="192" t="str">
        <f t="shared" si="2"/>
        <v>11B</v>
      </c>
      <c r="C269" s="185" t="str">
        <f t="array" ref="C269">IFNA(VLOOKUP(B269,{'DATA DE CONTROLES Y LLAVES'!I$6:I1000,'DATA DE CONTROLES Y LLAVES'!F$6:F1000},2,FALSE),"")</f>
        <v/>
      </c>
      <c r="D269" s="185" t="str">
        <f t="array" ref="D269">IFNA(VLOOKUP(B269,{'DATA DE CONTROLES Y LLAVES'!I$6:I1000,'DATA DE CONTROLES Y LLAVES'!G$6:G1000},2,FALSE),"")</f>
        <v/>
      </c>
      <c r="E269" s="13" t="s">
        <v>22</v>
      </c>
      <c r="F269" s="176"/>
      <c r="G269" s="176"/>
    </row>
    <row r="270">
      <c r="B270" s="192" t="str">
        <f t="shared" si="2"/>
        <v>12B</v>
      </c>
      <c r="C270" s="185" t="str">
        <f t="array" ref="C270">IFNA(VLOOKUP(B270,{'DATA DE CONTROLES Y LLAVES'!I$6:I1000,'DATA DE CONTROLES Y LLAVES'!F$6:F1000},2,FALSE),"")</f>
        <v>WILLY</v>
      </c>
      <c r="D270" s="185" t="str">
        <f t="array" ref="D270">IFNA(VLOOKUP(B270,{'DATA DE CONTROLES Y LLAVES'!I$6:I1000,'DATA DE CONTROLES Y LLAVES'!G$6:G1000},2,FALSE),"")</f>
        <v>SIVILA</v>
      </c>
      <c r="E270" s="13" t="s">
        <v>22</v>
      </c>
      <c r="F270" s="176"/>
      <c r="G270" s="176"/>
    </row>
    <row r="271">
      <c r="B271" s="192" t="str">
        <f t="shared" si="2"/>
        <v>13B</v>
      </c>
      <c r="C271" s="185" t="str">
        <f t="array" ref="C271">IFNA(VLOOKUP(B271,{'DATA DE CONTROLES Y LLAVES'!I$6:I1000,'DATA DE CONTROLES Y LLAVES'!F$6:F1000},2,FALSE),"")</f>
        <v/>
      </c>
      <c r="D271" s="185" t="str">
        <f t="array" ref="D271">IFNA(VLOOKUP(B271,{'DATA DE CONTROLES Y LLAVES'!I$6:I1000,'DATA DE CONTROLES Y LLAVES'!G$6:G1000},2,FALSE),"")</f>
        <v/>
      </c>
      <c r="E271" s="13" t="s">
        <v>22</v>
      </c>
      <c r="F271" s="176"/>
      <c r="G271" s="176"/>
    </row>
    <row r="272">
      <c r="B272" s="192" t="str">
        <f t="shared" si="2"/>
        <v>14B</v>
      </c>
      <c r="C272" s="185" t="str">
        <f t="array" ref="C272">IFNA(VLOOKUP(B272,{'DATA DE CONTROLES Y LLAVES'!I$6:I1000,'DATA DE CONTROLES Y LLAVES'!F$6:F1000},2,FALSE),"")</f>
        <v>YORDANKA</v>
      </c>
      <c r="D272" s="185" t="str">
        <f t="array" ref="D272">IFNA(VLOOKUP(B272,{'DATA DE CONTROLES Y LLAVES'!I$6:I1000,'DATA DE CONTROLES Y LLAVES'!G$6:G1000},2,FALSE),"")</f>
        <v>QUIJANOS</v>
      </c>
      <c r="E272" s="13" t="s">
        <v>22</v>
      </c>
      <c r="F272" s="176"/>
      <c r="G272" s="176"/>
    </row>
    <row r="273">
      <c r="B273" s="192" t="str">
        <f t="shared" si="2"/>
        <v>15B</v>
      </c>
      <c r="C273" s="185" t="str">
        <f t="array" ref="C273">IFNA(VLOOKUP(B273,{'DATA DE CONTROLES Y LLAVES'!I$6:I1000,'DATA DE CONTROLES Y LLAVES'!F$6:F1000},2,FALSE),"")</f>
        <v/>
      </c>
      <c r="D273" s="185" t="str">
        <f t="array" ref="D273">IFNA(VLOOKUP(B273,{'DATA DE CONTROLES Y LLAVES'!I$6:I1000,'DATA DE CONTROLES Y LLAVES'!G$6:G1000},2,FALSE),"")</f>
        <v/>
      </c>
      <c r="E273" s="13" t="s">
        <v>47</v>
      </c>
      <c r="F273" s="176"/>
      <c r="G273" s="176"/>
    </row>
    <row r="274">
      <c r="B274" s="192" t="str">
        <f t="shared" si="2"/>
        <v>16B</v>
      </c>
      <c r="C274" s="185" t="str">
        <f t="array" ref="C274">IFNA(VLOOKUP(B274,{'DATA DE CONTROLES Y LLAVES'!I$6:I1000,'DATA DE CONTROLES Y LLAVES'!F$6:F1000},2,FALSE),"")</f>
        <v/>
      </c>
      <c r="D274" s="185" t="str">
        <f t="array" ref="D274">IFNA(VLOOKUP(B274,{'DATA DE CONTROLES Y LLAVES'!I$6:I1000,'DATA DE CONTROLES Y LLAVES'!G$6:G1000},2,FALSE),"")</f>
        <v/>
      </c>
      <c r="E274" s="13" t="s">
        <v>47</v>
      </c>
      <c r="F274" s="176"/>
      <c r="G274" s="176"/>
    </row>
    <row r="275">
      <c r="B275" s="192" t="str">
        <f t="shared" si="2"/>
        <v>17B</v>
      </c>
      <c r="C275" s="185" t="str">
        <f t="array" ref="C275">IFNA(VLOOKUP(B275,{'DATA DE CONTROLES Y LLAVES'!I$6:I1000,'DATA DE CONTROLES Y LLAVES'!F$6:F1000},2,FALSE),"")</f>
        <v>Carlos</v>
      </c>
      <c r="D275" s="185" t="str">
        <f t="array" ref="D275">IFNA(VLOOKUP(B275,{'DATA DE CONTROLES Y LLAVES'!I$6:I1000,'DATA DE CONTROLES Y LLAVES'!G$6:G1000},2,FALSE),"")</f>
        <v>Hidalgo</v>
      </c>
      <c r="E275" s="13" t="s">
        <v>22</v>
      </c>
      <c r="F275" s="176"/>
      <c r="G275" s="176"/>
    </row>
    <row r="276">
      <c r="B276" s="192" t="str">
        <f t="shared" si="2"/>
        <v>18B</v>
      </c>
      <c r="C276" s="185" t="str">
        <f t="array" ref="C276">IFNA(VLOOKUP(B276,{'DATA DE CONTROLES Y LLAVES'!I$6:I1000,'DATA DE CONTROLES Y LLAVES'!F$6:F1000},2,FALSE),"")</f>
        <v/>
      </c>
      <c r="D276" s="185" t="str">
        <f t="array" ref="D276">IFNA(VLOOKUP(B276,{'DATA DE CONTROLES Y LLAVES'!I$6:I1000,'DATA DE CONTROLES Y LLAVES'!G$6:G1000},2,FALSE),"")</f>
        <v/>
      </c>
      <c r="E276" s="13" t="s">
        <v>47</v>
      </c>
      <c r="F276" s="176"/>
      <c r="G276" s="176"/>
    </row>
    <row r="277">
      <c r="B277" s="192" t="str">
        <f t="shared" si="2"/>
        <v>19B</v>
      </c>
      <c r="C277" s="185" t="str">
        <f t="array" ref="C277">IFNA(VLOOKUP(B277,{'DATA DE CONTROLES Y LLAVES'!I$6:I1000,'DATA DE CONTROLES Y LLAVES'!F$6:F1000},2,FALSE),"")</f>
        <v>KARÍN</v>
      </c>
      <c r="D277" s="185" t="str">
        <f t="array" ref="D277">IFNA(VLOOKUP(B277,{'DATA DE CONTROLES Y LLAVES'!I$6:I1000,'DATA DE CONTROLES Y LLAVES'!G$6:G1000},2,FALSE),"")</f>
        <v>CURIEL</v>
      </c>
      <c r="E277" s="13" t="s">
        <v>22</v>
      </c>
      <c r="F277" s="176"/>
      <c r="G277" s="176"/>
    </row>
    <row r="278">
      <c r="B278" s="192" t="str">
        <f t="shared" si="2"/>
        <v>20B</v>
      </c>
      <c r="C278" s="185" t="str">
        <f t="array" ref="C278">IFNA(VLOOKUP(B278,{'DATA DE CONTROLES Y LLAVES'!I$6:I1000,'DATA DE CONTROLES Y LLAVES'!F$6:F1000},2,FALSE),"")</f>
        <v>EDUARDO</v>
      </c>
      <c r="D278" s="185" t="str">
        <f t="array" ref="D278">IFNA(VLOOKUP(B278,{'DATA DE CONTROLES Y LLAVES'!I$6:I1000,'DATA DE CONTROLES Y LLAVES'!G$6:G1000},2,FALSE),"")</f>
        <v>GUTIERREZ</v>
      </c>
      <c r="E278" s="13" t="s">
        <v>47</v>
      </c>
      <c r="F278" s="176"/>
      <c r="G278" s="176"/>
    </row>
    <row r="279">
      <c r="B279" s="192" t="str">
        <f t="shared" si="2"/>
        <v>21B</v>
      </c>
      <c r="C279" s="185" t="str">
        <f t="array" ref="C279">IFNA(VLOOKUP(B279,{'DATA DE CONTROLES Y LLAVES'!I$6:I1000,'DATA DE CONTROLES Y LLAVES'!F$6:F1000},2,FALSE),"")</f>
        <v/>
      </c>
      <c r="D279" s="185" t="str">
        <f t="array" ref="D279">IFNA(VLOOKUP(B279,{'DATA DE CONTROLES Y LLAVES'!I$6:I1000,'DATA DE CONTROLES Y LLAVES'!G$6:G1000},2,FALSE),"")</f>
        <v/>
      </c>
      <c r="E279" s="13" t="s">
        <v>47</v>
      </c>
      <c r="F279" s="176"/>
      <c r="G279" s="176"/>
    </row>
    <row r="280">
      <c r="B280" s="192" t="str">
        <f t="shared" si="2"/>
        <v>22B</v>
      </c>
      <c r="C280" s="185" t="str">
        <f t="array" ref="C280">IFNA(VLOOKUP(B280,{'DATA DE CONTROLES Y LLAVES'!I$6:I1000,'DATA DE CONTROLES Y LLAVES'!F$6:F1000},2,FALSE),"")</f>
        <v/>
      </c>
      <c r="D280" s="185" t="str">
        <f t="array" ref="D280">IFNA(VLOOKUP(B280,{'DATA DE CONTROLES Y LLAVES'!I$6:I1000,'DATA DE CONTROLES Y LLAVES'!G$6:G1000},2,FALSE),"")</f>
        <v/>
      </c>
      <c r="E280" s="13" t="s">
        <v>47</v>
      </c>
      <c r="F280" s="176"/>
      <c r="G280" s="176"/>
    </row>
    <row r="281">
      <c r="B281" s="192" t="str">
        <f t="shared" si="2"/>
        <v>23B</v>
      </c>
      <c r="C281" s="185" t="str">
        <f t="array" ref="C281">IFNA(VLOOKUP(B281,{'DATA DE CONTROLES Y LLAVES'!I$6:I1000,'DATA DE CONTROLES Y LLAVES'!F$6:F1000},2,FALSE),"")</f>
        <v>NAYARI</v>
      </c>
      <c r="D281" s="185" t="str">
        <f t="array" ref="D281">IFNA(VLOOKUP(B281,{'DATA DE CONTROLES Y LLAVES'!I$6:I1000,'DATA DE CONTROLES Y LLAVES'!G$6:G1000},2,FALSE),"")</f>
        <v>BORJAS</v>
      </c>
      <c r="E281" s="13" t="s">
        <v>47</v>
      </c>
      <c r="F281" s="176"/>
      <c r="G281" s="176"/>
    </row>
    <row r="282">
      <c r="B282" s="192" t="str">
        <f t="shared" si="2"/>
        <v>24B</v>
      </c>
      <c r="C282" s="185" t="str">
        <f t="array" ref="C282">IFNA(VLOOKUP(B282,{'DATA DE CONTROLES Y LLAVES'!I$6:I1000,'DATA DE CONTROLES Y LLAVES'!F$6:F1000},2,FALSE),"")</f>
        <v/>
      </c>
      <c r="D282" s="185" t="str">
        <f t="array" ref="D282">IFNA(VLOOKUP(B282,{'DATA DE CONTROLES Y LLAVES'!I$6:I1000,'DATA DE CONTROLES Y LLAVES'!G$6:G1000},2,FALSE),"")</f>
        <v/>
      </c>
      <c r="E282" s="13" t="s">
        <v>47</v>
      </c>
      <c r="F282" s="176"/>
      <c r="G282" s="176"/>
    </row>
    <row r="283">
      <c r="B283" s="192" t="str">
        <f t="shared" si="2"/>
        <v>25B</v>
      </c>
      <c r="C283" s="185" t="str">
        <f t="array" ref="C283">IFNA(VLOOKUP(B283,{'DATA DE CONTROLES Y LLAVES'!I$6:I1000,'DATA DE CONTROLES Y LLAVES'!F$6:F1000},2,FALSE),"")</f>
        <v>MILDRED</v>
      </c>
      <c r="D283" s="185" t="str">
        <f t="array" ref="D283">IFNA(VLOOKUP(B283,{'DATA DE CONTROLES Y LLAVES'!I$6:I1000,'DATA DE CONTROLES Y LLAVES'!G$6:G1000},2,FALSE),"")</f>
        <v>GÓMEZ</v>
      </c>
      <c r="E283" s="13" t="s">
        <v>22</v>
      </c>
      <c r="F283" s="176"/>
      <c r="G283" s="176"/>
    </row>
    <row r="284">
      <c r="B284" s="192" t="str">
        <f t="shared" si="2"/>
        <v>26B</v>
      </c>
      <c r="C284" s="185" t="str">
        <f t="array" ref="C284">IFNA(VLOOKUP(B284,{'DATA DE CONTROLES Y LLAVES'!I$6:I1000,'DATA DE CONTROLES Y LLAVES'!F$6:F1000},2,FALSE),"")</f>
        <v/>
      </c>
      <c r="D284" s="185" t="str">
        <f t="array" ref="D284">IFNA(VLOOKUP(B284,{'DATA DE CONTROLES Y LLAVES'!I$6:I1000,'DATA DE CONTROLES Y LLAVES'!G$6:G1000},2,FALSE),"")</f>
        <v/>
      </c>
      <c r="E284" s="13" t="s">
        <v>22</v>
      </c>
      <c r="F284" s="176"/>
      <c r="G284" s="176"/>
    </row>
    <row r="285">
      <c r="B285" s="192" t="str">
        <f t="shared" si="2"/>
        <v>27B</v>
      </c>
      <c r="C285" s="185" t="str">
        <f t="array" ref="C285">IFNA(VLOOKUP(B285,{'DATA DE CONTROLES Y LLAVES'!I$6:I1000,'DATA DE CONTROLES Y LLAVES'!F$6:F1000},2,FALSE),"")</f>
        <v/>
      </c>
      <c r="D285" s="185" t="str">
        <f t="array" ref="D285">IFNA(VLOOKUP(B285,{'DATA DE CONTROLES Y LLAVES'!I$6:I1000,'DATA DE CONTROLES Y LLAVES'!G$6:G1000},2,FALSE),"")</f>
        <v/>
      </c>
      <c r="E285" s="13" t="s">
        <v>22</v>
      </c>
      <c r="F285" s="176"/>
      <c r="G285" s="176"/>
    </row>
    <row r="286">
      <c r="B286" s="192" t="str">
        <f t="shared" si="2"/>
        <v>28B</v>
      </c>
      <c r="C286" s="185" t="str">
        <f t="array" ref="C286">IFNA(VLOOKUP(B286,{'DATA DE CONTROLES Y LLAVES'!I$6:I1000,'DATA DE CONTROLES Y LLAVES'!F$6:F1000},2,FALSE),"")</f>
        <v/>
      </c>
      <c r="D286" s="185" t="str">
        <f t="array" ref="D286">IFNA(VLOOKUP(B286,{'DATA DE CONTROLES Y LLAVES'!I$6:I1000,'DATA DE CONTROLES Y LLAVES'!G$6:G1000},2,FALSE),"")</f>
        <v/>
      </c>
      <c r="E286" s="13" t="s">
        <v>22</v>
      </c>
      <c r="F286" s="176"/>
      <c r="G286" s="176"/>
    </row>
    <row r="287">
      <c r="B287" s="192" t="str">
        <f t="shared" si="2"/>
        <v>29B</v>
      </c>
      <c r="C287" s="185" t="str">
        <f t="array" ref="C287">IFNA(VLOOKUP(B287,{'DATA DE CONTROLES Y LLAVES'!I$6:I1000,'DATA DE CONTROLES Y LLAVES'!F$6:F1000},2,FALSE),"")</f>
        <v/>
      </c>
      <c r="D287" s="185" t="str">
        <f t="array" ref="D287">IFNA(VLOOKUP(B287,{'DATA DE CONTROLES Y LLAVES'!I$6:I1000,'DATA DE CONTROLES Y LLAVES'!G$6:G1000},2,FALSE),"")</f>
        <v/>
      </c>
      <c r="E287" s="13" t="s">
        <v>47</v>
      </c>
      <c r="F287" s="176"/>
      <c r="G287" s="176"/>
    </row>
    <row r="288">
      <c r="B288" s="192" t="str">
        <f t="shared" si="2"/>
        <v>30B</v>
      </c>
      <c r="C288" s="185" t="str">
        <f t="array" ref="C288">IFNA(VLOOKUP(B288,{'DATA DE CONTROLES Y LLAVES'!I$6:I1000,'DATA DE CONTROLES Y LLAVES'!F$6:F1000},2,FALSE),"")</f>
        <v/>
      </c>
      <c r="D288" s="185" t="str">
        <f t="array" ref="D288">IFNA(VLOOKUP(B288,{'DATA DE CONTROLES Y LLAVES'!I$6:I1000,'DATA DE CONTROLES Y LLAVES'!G$6:G1000},2,FALSE),"")</f>
        <v/>
      </c>
      <c r="E288" s="13" t="s">
        <v>22</v>
      </c>
      <c r="F288" s="176"/>
      <c r="G288" s="176"/>
    </row>
    <row r="289">
      <c r="B289" s="192" t="str">
        <f t="shared" si="2"/>
        <v>31B</v>
      </c>
      <c r="C289" s="185" t="str">
        <f t="array" ref="C289">IFNA(VLOOKUP(B289,{'DATA DE CONTROLES Y LLAVES'!I$6:I1000,'DATA DE CONTROLES Y LLAVES'!F$6:F1000},2,FALSE),"")</f>
        <v>KAREN</v>
      </c>
      <c r="D289" s="185" t="str">
        <f t="array" ref="D289">IFNA(VLOOKUP(B289,{'DATA DE CONTROLES Y LLAVES'!I$6:I1000,'DATA DE CONTROLES Y LLAVES'!G$6:G1000},2,FALSE),"")</f>
        <v>GRAU</v>
      </c>
      <c r="E289" s="13" t="s">
        <v>47</v>
      </c>
      <c r="F289" s="176"/>
      <c r="G289" s="176"/>
    </row>
    <row r="290">
      <c r="B290" s="192" t="str">
        <f t="shared" si="2"/>
        <v>32B</v>
      </c>
      <c r="C290" s="185" t="str">
        <f t="array" ref="C290">IFNA(VLOOKUP(B290,{'DATA DE CONTROLES Y LLAVES'!I$6:I1000,'DATA DE CONTROLES Y LLAVES'!F$6:F1000},2,FALSE),"")</f>
        <v>ROSA</v>
      </c>
      <c r="D290" s="185" t="str">
        <f t="array" ref="D290">IFNA(VLOOKUP(B290,{'DATA DE CONTROLES Y LLAVES'!I$6:I1000,'DATA DE CONTROLES Y LLAVES'!G$6:G1000},2,FALSE),"")</f>
        <v>CRESPO</v>
      </c>
      <c r="E290" s="13" t="s">
        <v>47</v>
      </c>
      <c r="F290" s="176"/>
      <c r="G290" s="176"/>
    </row>
    <row r="291">
      <c r="B291" s="192" t="str">
        <f t="shared" si="2"/>
        <v>33B</v>
      </c>
      <c r="C291" s="185" t="str">
        <f t="array" ref="C291">IFNA(VLOOKUP(B291,{'DATA DE CONTROLES Y LLAVES'!I$6:I1000,'DATA DE CONTROLES Y LLAVES'!F$6:F1000},2,FALSE),"")</f>
        <v/>
      </c>
      <c r="D291" s="185" t="str">
        <f t="array" ref="D291">IFNA(VLOOKUP(B291,{'DATA DE CONTROLES Y LLAVES'!I$6:I1000,'DATA DE CONTROLES Y LLAVES'!G$6:G1000},2,FALSE),"")</f>
        <v/>
      </c>
      <c r="E291" s="13" t="s">
        <v>47</v>
      </c>
      <c r="F291" s="176"/>
      <c r="G291" s="176"/>
    </row>
    <row r="292">
      <c r="B292" s="192" t="str">
        <f t="shared" si="2"/>
        <v>34B</v>
      </c>
      <c r="C292" s="185" t="str">
        <f t="array" ref="C292">IFNA(VLOOKUP(B292,{'DATA DE CONTROLES Y LLAVES'!I$6:I1000,'DATA DE CONTROLES Y LLAVES'!F$6:F1000},2,FALSE),"")</f>
        <v>GABRIEL (PIRULO)</v>
      </c>
      <c r="D292" s="185" t="str">
        <f t="array" ref="D292">IFNA(VLOOKUP(B292,{'DATA DE CONTROLES Y LLAVES'!I$6:I1000,'DATA DE CONTROLES Y LLAVES'!G$6:G1000},2,FALSE),"")</f>
        <v>BRITO</v>
      </c>
      <c r="E292" s="13" t="s">
        <v>22</v>
      </c>
      <c r="F292" s="176"/>
      <c r="G292" s="176"/>
    </row>
    <row r="293">
      <c r="B293" s="192" t="str">
        <f t="shared" si="2"/>
        <v>35B</v>
      </c>
      <c r="C293" s="185" t="str">
        <f t="array" ref="C293">IFNA(VLOOKUP(B293,{'DATA DE CONTROLES Y LLAVES'!I$6:I1000,'DATA DE CONTROLES Y LLAVES'!F$6:F1000},2,FALSE),"")</f>
        <v>EGLEE</v>
      </c>
      <c r="D293" s="185" t="str">
        <f t="array" ref="D293">IFNA(VLOOKUP(B293,{'DATA DE CONTROLES Y LLAVES'!I$6:I1000,'DATA DE CONTROLES Y LLAVES'!G$6:G1000},2,FALSE),"")</f>
        <v>FIGUEREDO</v>
      </c>
      <c r="E293" s="13" t="s">
        <v>22</v>
      </c>
      <c r="F293" s="176"/>
      <c r="G293" s="176"/>
    </row>
    <row r="294">
      <c r="B294" s="192" t="str">
        <f t="shared" si="2"/>
        <v>36B</v>
      </c>
      <c r="C294" s="185" t="str">
        <f t="array" ref="C294">IFNA(VLOOKUP(B294,{'DATA DE CONTROLES Y LLAVES'!I$6:I1000,'DATA DE CONTROLES Y LLAVES'!F$6:F1000},2,FALSE),"")</f>
        <v>EDUARDO</v>
      </c>
      <c r="D294" s="185" t="str">
        <f t="array" ref="D294">IFNA(VLOOKUP(B294,{'DATA DE CONTROLES Y LLAVES'!I$6:I1000,'DATA DE CONTROLES Y LLAVES'!G$6:G1000},2,FALSE),"")</f>
        <v>ARISMENDI</v>
      </c>
      <c r="E294" s="13" t="s">
        <v>47</v>
      </c>
      <c r="F294" s="176"/>
      <c r="G294" s="176"/>
    </row>
    <row r="295">
      <c r="B295" s="192" t="str">
        <f t="shared" si="2"/>
        <v>37B</v>
      </c>
      <c r="C295" s="185" t="str">
        <f t="array" ref="C295">IFNA(VLOOKUP(B295,{'DATA DE CONTROLES Y LLAVES'!I$6:I1000,'DATA DE CONTROLES Y LLAVES'!F$6:F1000},2,FALSE),"")</f>
        <v>LORENA </v>
      </c>
      <c r="D295" s="185" t="str">
        <f t="array" ref="D295">IFNA(VLOOKUP(B295,{'DATA DE CONTROLES Y LLAVES'!I$6:I1000,'DATA DE CONTROLES Y LLAVES'!G$6:G1000},2,FALSE),"")</f>
        <v>GARCIA</v>
      </c>
      <c r="E295" s="13" t="s">
        <v>22</v>
      </c>
      <c r="F295" s="176"/>
      <c r="G295" s="176"/>
    </row>
    <row r="296">
      <c r="B296" s="192" t="str">
        <f t="shared" si="2"/>
        <v>38B</v>
      </c>
      <c r="C296" s="185" t="str">
        <f t="array" ref="C296">IFNA(VLOOKUP(B296,{'DATA DE CONTROLES Y LLAVES'!I$6:I1000,'DATA DE CONTROLES Y LLAVES'!F$6:F1000},2,FALSE),"")</f>
        <v>MARJORIE</v>
      </c>
      <c r="D296" s="185" t="str">
        <f t="array" ref="D296">IFNA(VLOOKUP(B296,{'DATA DE CONTROLES Y LLAVES'!I$6:I1000,'DATA DE CONTROLES Y LLAVES'!G$6:G1000},2,FALSE),"")</f>
        <v>DÍAZ</v>
      </c>
      <c r="E296" s="13" t="s">
        <v>22</v>
      </c>
      <c r="F296" s="176"/>
      <c r="G296" s="176"/>
    </row>
    <row r="297">
      <c r="B297" s="192" t="str">
        <f t="shared" si="2"/>
        <v>39B</v>
      </c>
      <c r="C297" s="185" t="str">
        <f t="array" ref="C297">IFNA(VLOOKUP(B297,{'DATA DE CONTROLES Y LLAVES'!I$6:I1000,'DATA DE CONTROLES Y LLAVES'!F$6:F1000},2,FALSE),"")</f>
        <v/>
      </c>
      <c r="D297" s="185" t="str">
        <f t="array" ref="D297">IFNA(VLOOKUP(B297,{'DATA DE CONTROLES Y LLAVES'!I$6:I1000,'DATA DE CONTROLES Y LLAVES'!G$6:G1000},2,FALSE),"")</f>
        <v/>
      </c>
      <c r="E297" s="13" t="s">
        <v>47</v>
      </c>
      <c r="F297" s="176"/>
      <c r="G297" s="176"/>
    </row>
    <row r="298">
      <c r="B298" s="192" t="str">
        <f t="shared" si="2"/>
        <v>40B</v>
      </c>
      <c r="C298" s="185" t="str">
        <f t="array" ref="C298">IFNA(VLOOKUP(B298,{'DATA DE CONTROLES Y LLAVES'!I$6:I1000,'DATA DE CONTROLES Y LLAVES'!F$6:F1000},2,FALSE),"")</f>
        <v>ROCIO </v>
      </c>
      <c r="D298" s="185" t="str">
        <f t="array" ref="D298">IFNA(VLOOKUP(B298,{'DATA DE CONTROLES Y LLAVES'!I$6:I1000,'DATA DE CONTROLES Y LLAVES'!G$6:G1000},2,FALSE),"")</f>
        <v>LOZADA</v>
      </c>
      <c r="E298" s="13" t="s">
        <v>22</v>
      </c>
      <c r="F298" s="176"/>
      <c r="G298" s="176"/>
    </row>
    <row r="299">
      <c r="B299" s="192" t="str">
        <f t="shared" si="2"/>
        <v>41B</v>
      </c>
      <c r="C299" s="185" t="str">
        <f t="array" ref="C299">IFNA(VLOOKUP(B299,{'DATA DE CONTROLES Y LLAVES'!I$6:I1000,'DATA DE CONTROLES Y LLAVES'!F$6:F1000},2,FALSE),"")</f>
        <v>HAILER </v>
      </c>
      <c r="D299" s="185" t="str">
        <f t="array" ref="D299">IFNA(VLOOKUP(B299,{'DATA DE CONTROLES Y LLAVES'!I$6:I1000,'DATA DE CONTROLES Y LLAVES'!G$6:G1000},2,FALSE),"")</f>
        <v>QUERALES</v>
      </c>
      <c r="E299" s="13" t="s">
        <v>22</v>
      </c>
      <c r="F299" s="176"/>
      <c r="G299" s="176"/>
    </row>
    <row r="300">
      <c r="B300" s="192" t="str">
        <f t="shared" si="2"/>
        <v>42B</v>
      </c>
      <c r="C300" s="185" t="str">
        <f t="array" ref="C300">IFNA(VLOOKUP(B300,{'DATA DE CONTROLES Y LLAVES'!I$6:I1000,'DATA DE CONTROLES Y LLAVES'!F$6:F1000},2,FALSE),"")</f>
        <v/>
      </c>
      <c r="D300" s="185" t="str">
        <f t="array" ref="D300">IFNA(VLOOKUP(B300,{'DATA DE CONTROLES Y LLAVES'!I$6:I1000,'DATA DE CONTROLES Y LLAVES'!G$6:G1000},2,FALSE),"")</f>
        <v/>
      </c>
      <c r="E300" s="13" t="s">
        <v>22</v>
      </c>
      <c r="F300" s="176"/>
      <c r="G300" s="176"/>
    </row>
    <row r="301">
      <c r="B301" s="192" t="str">
        <f t="shared" si="2"/>
        <v>43B</v>
      </c>
      <c r="C301" s="185" t="str">
        <f t="array" ref="C301">IFNA(VLOOKUP(B301,{'DATA DE CONTROLES Y LLAVES'!I$6:I1000,'DATA DE CONTROLES Y LLAVES'!F$6:F1000},2,FALSE),"")</f>
        <v>LEONARDO</v>
      </c>
      <c r="D301" s="185" t="str">
        <f t="array" ref="D301">IFNA(VLOOKUP(B301,{'DATA DE CONTROLES Y LLAVES'!I$6:I1000,'DATA DE CONTROLES Y LLAVES'!G$6:G1000},2,FALSE),"")</f>
        <v>PADRINO</v>
      </c>
      <c r="E301" s="13" t="s">
        <v>22</v>
      </c>
      <c r="F301" s="176"/>
      <c r="G301" s="176"/>
    </row>
    <row r="302">
      <c r="B302" s="192" t="str">
        <f t="shared" si="2"/>
        <v>44B</v>
      </c>
      <c r="C302" s="185" t="str">
        <f t="array" ref="C302">IFNA(VLOOKUP(B302,{'DATA DE CONTROLES Y LLAVES'!I$6:I1000,'DATA DE CONTROLES Y LLAVES'!F$6:F1000},2,FALSE),"")</f>
        <v>ALEXANDER</v>
      </c>
      <c r="D302" s="185" t="str">
        <f t="array" ref="D302">IFNA(VLOOKUP(B302,{'DATA DE CONTROLES Y LLAVES'!I$6:I1000,'DATA DE CONTROLES Y LLAVES'!G$6:G1000},2,FALSE),"")</f>
        <v>GÓMEZ</v>
      </c>
      <c r="E302" s="13" t="s">
        <v>22</v>
      </c>
      <c r="F302" s="176"/>
      <c r="G302" s="176"/>
    </row>
    <row r="303">
      <c r="B303" s="192" t="str">
        <f t="shared" si="2"/>
        <v>45B</v>
      </c>
      <c r="C303" s="185" t="str">
        <f t="array" ref="C303">IFNA(VLOOKUP(B303,{'DATA DE CONTROLES Y LLAVES'!I$6:I1000,'DATA DE CONTROLES Y LLAVES'!F$6:F1000},2,FALSE),"")</f>
        <v>ALEJANDRO</v>
      </c>
      <c r="D303" s="185" t="str">
        <f t="array" ref="D303">IFNA(VLOOKUP(B303,{'DATA DE CONTROLES Y LLAVES'!I$6:I1000,'DATA DE CONTROLES Y LLAVES'!G$6:G1000},2,FALSE),"")</f>
        <v>CUEVAS</v>
      </c>
      <c r="E303" s="13" t="s">
        <v>47</v>
      </c>
      <c r="F303" s="176"/>
      <c r="G303" s="176"/>
    </row>
    <row r="304">
      <c r="B304" s="192" t="str">
        <f t="shared" si="2"/>
        <v>46B</v>
      </c>
      <c r="C304" s="185" t="str">
        <f t="array" ref="C304">IFNA(VLOOKUP(B304,{'DATA DE CONTROLES Y LLAVES'!I$6:I1000,'DATA DE CONTROLES Y LLAVES'!F$6:F1000},2,FALSE),"")</f>
        <v/>
      </c>
      <c r="D304" s="185" t="str">
        <f t="array" ref="D304">IFNA(VLOOKUP(B304,{'DATA DE CONTROLES Y LLAVES'!I$6:I1000,'DATA DE CONTROLES Y LLAVES'!G$6:G1000},2,FALSE),"")</f>
        <v/>
      </c>
      <c r="E304" s="13" t="s">
        <v>47</v>
      </c>
      <c r="F304" s="176"/>
      <c r="G304" s="176"/>
    </row>
    <row r="305">
      <c r="B305" s="192" t="str">
        <f t="shared" si="2"/>
        <v>47B</v>
      </c>
      <c r="C305" s="185" t="str">
        <f t="array" ref="C305">IFNA(VLOOKUP(B305,{'DATA DE CONTROLES Y LLAVES'!I$6:I1000,'DATA DE CONTROLES Y LLAVES'!F$6:F1000},2,FALSE),"")</f>
        <v/>
      </c>
      <c r="D305" s="185" t="str">
        <f t="array" ref="D305">IFNA(VLOOKUP(B305,{'DATA DE CONTROLES Y LLAVES'!I$6:I1000,'DATA DE CONTROLES Y LLAVES'!G$6:G1000},2,FALSE),"")</f>
        <v/>
      </c>
      <c r="E305" s="13" t="s">
        <v>47</v>
      </c>
      <c r="F305" s="176"/>
      <c r="G305" s="176"/>
    </row>
    <row r="306">
      <c r="B306" s="192" t="str">
        <f t="shared" si="2"/>
        <v>48B</v>
      </c>
      <c r="C306" s="185" t="str">
        <f t="array" ref="C306">IFNA(VLOOKUP(B306,{'DATA DE CONTROLES Y LLAVES'!I$6:I1000,'DATA DE CONTROLES Y LLAVES'!F$6:F1000},2,FALSE),"")</f>
        <v>YORDANKA</v>
      </c>
      <c r="D306" s="185" t="str">
        <f t="array" ref="D306">IFNA(VLOOKUP(B306,{'DATA DE CONTROLES Y LLAVES'!I$6:I1000,'DATA DE CONTROLES Y LLAVES'!G$6:G1000},2,FALSE),"")</f>
        <v>QUIJANOS</v>
      </c>
      <c r="E306" s="13" t="s">
        <v>22</v>
      </c>
      <c r="F306" s="176"/>
      <c r="G306" s="176"/>
    </row>
    <row r="307">
      <c r="B307" s="192" t="str">
        <f t="shared" si="2"/>
        <v>49B</v>
      </c>
      <c r="C307" s="185" t="str">
        <f t="array" ref="C307">IFNA(VLOOKUP(B307,{'DATA DE CONTROLES Y LLAVES'!I$6:I1000,'DATA DE CONTROLES Y LLAVES'!F$6:F1000},2,FALSE),"")</f>
        <v>CARLOTA</v>
      </c>
      <c r="D307" s="185" t="str">
        <f t="array" ref="D307">IFNA(VLOOKUP(B307,{'DATA DE CONTROLES Y LLAVES'!I$6:I1000,'DATA DE CONTROLES Y LLAVES'!G$6:G1000},2,FALSE),"")</f>
        <v>MAUCÓ</v>
      </c>
      <c r="E307" s="13" t="s">
        <v>47</v>
      </c>
      <c r="F307" s="176"/>
      <c r="G307" s="176"/>
    </row>
    <row r="308">
      <c r="B308" s="192" t="str">
        <f t="shared" si="2"/>
        <v>50B</v>
      </c>
      <c r="C308" s="185" t="str">
        <f t="array" ref="C308">IFNA(VLOOKUP(B308,{'DATA DE CONTROLES Y LLAVES'!I$6:I1000,'DATA DE CONTROLES Y LLAVES'!F$6:F1000},2,FALSE),"")</f>
        <v>JOSÉ</v>
      </c>
      <c r="D308" s="185" t="str">
        <f t="array" ref="D308">IFNA(VLOOKUP(B308,{'DATA DE CONTROLES Y LLAVES'!I$6:I1000,'DATA DE CONTROLES Y LLAVES'!G$6:G1000},2,FALSE),"")</f>
        <v>ACOSTA</v>
      </c>
      <c r="E308" s="13" t="s">
        <v>22</v>
      </c>
      <c r="F308" s="176"/>
      <c r="G308" s="176"/>
    </row>
    <row r="309">
      <c r="B309" s="192" t="str">
        <f t="shared" si="2"/>
        <v>51B</v>
      </c>
      <c r="C309" s="185" t="str">
        <f t="array" ref="C309">IFNA(VLOOKUP(B309,{'DATA DE CONTROLES Y LLAVES'!I$6:I1000,'DATA DE CONTROLES Y LLAVES'!F$6:F1000},2,FALSE),"")</f>
        <v>JORGE</v>
      </c>
      <c r="D309" s="185" t="str">
        <f t="array" ref="D309">IFNA(VLOOKUP(B309,{'DATA DE CONTROLES Y LLAVES'!I$6:I1000,'DATA DE CONTROLES Y LLAVES'!G$6:G1000},2,FALSE),"")</f>
        <v>PINO</v>
      </c>
      <c r="E309" s="13" t="s">
        <v>47</v>
      </c>
      <c r="F309" s="176"/>
      <c r="G309" s="176"/>
    </row>
    <row r="310">
      <c r="B310" s="192" t="str">
        <f t="shared" si="2"/>
        <v>52B</v>
      </c>
      <c r="C310" s="185" t="str">
        <f t="array" ref="C310">IFNA(VLOOKUP(B310,{'DATA DE CONTROLES Y LLAVES'!I$6:I1000,'DATA DE CONTROLES Y LLAVES'!F$6:F1000},2,FALSE),"")</f>
        <v>JACKELIN</v>
      </c>
      <c r="D310" s="185" t="str">
        <f t="array" ref="D310">IFNA(VLOOKUP(B310,{'DATA DE CONTROLES Y LLAVES'!I$6:I1000,'DATA DE CONTROLES Y LLAVES'!G$6:G1000},2,FALSE),"")</f>
        <v>CALDERÓN</v>
      </c>
      <c r="E310" s="13" t="s">
        <v>47</v>
      </c>
      <c r="F310" s="176"/>
      <c r="G310" s="176"/>
    </row>
    <row r="311">
      <c r="B311" s="192" t="str">
        <f t="shared" si="2"/>
        <v>53B</v>
      </c>
      <c r="C311" s="185" t="str">
        <f t="array" ref="C311">IFNA(VLOOKUP(B311,{'DATA DE CONTROLES Y LLAVES'!I$6:I1000,'DATA DE CONTROLES Y LLAVES'!F$6:F1000},2,FALSE),"")</f>
        <v>MARIO</v>
      </c>
      <c r="D311" s="185" t="str">
        <f t="array" ref="D311">IFNA(VLOOKUP(B311,{'DATA DE CONTROLES Y LLAVES'!I$6:I1000,'DATA DE CONTROLES Y LLAVES'!G$6:G1000},2,FALSE),"")</f>
        <v>HERNÁNDEZ</v>
      </c>
      <c r="E311" s="13" t="s">
        <v>47</v>
      </c>
      <c r="F311" s="176"/>
      <c r="G311" s="176"/>
    </row>
    <row r="312">
      <c r="B312" s="192" t="str">
        <f t="shared" si="2"/>
        <v>54B</v>
      </c>
      <c r="C312" s="185" t="str">
        <f t="array" ref="C312">IFNA(VLOOKUP(B312,{'DATA DE CONTROLES Y LLAVES'!I$6:I1000,'DATA DE CONTROLES Y LLAVES'!F$6:F1000},2,FALSE),"")</f>
        <v/>
      </c>
      <c r="D312" s="185" t="str">
        <f t="array" ref="D312">IFNA(VLOOKUP(B312,{'DATA DE CONTROLES Y LLAVES'!I$6:I1000,'DATA DE CONTROLES Y LLAVES'!G$6:G1000},2,FALSE),"")</f>
        <v/>
      </c>
      <c r="E312" s="13" t="s">
        <v>47</v>
      </c>
      <c r="F312" s="176"/>
      <c r="G312" s="176"/>
    </row>
    <row r="313">
      <c r="B313" s="192" t="str">
        <f t="shared" si="2"/>
        <v>55B</v>
      </c>
      <c r="C313" s="185" t="str">
        <f t="array" ref="C313">IFNA(VLOOKUP(B313,{'DATA DE CONTROLES Y LLAVES'!I$6:I1000,'DATA DE CONTROLES Y LLAVES'!F$6:F1000},2,FALSE),"")</f>
        <v>ALFREDO</v>
      </c>
      <c r="D313" s="185" t="str">
        <f t="array" ref="D313">IFNA(VLOOKUP(B313,{'DATA DE CONTROLES Y LLAVES'!I$6:I1000,'DATA DE CONTROLES Y LLAVES'!G$6:G1000},2,FALSE),"")</f>
        <v>MAUCÓ</v>
      </c>
      <c r="E313" s="13" t="s">
        <v>47</v>
      </c>
      <c r="F313" s="176"/>
      <c r="G313" s="176"/>
    </row>
    <row r="314">
      <c r="B314" s="192" t="str">
        <f t="shared" si="2"/>
        <v>56B</v>
      </c>
      <c r="C314" s="185" t="str">
        <f t="array" ref="C314">IFNA(VLOOKUP(B314,{'DATA DE CONTROLES Y LLAVES'!I$6:I1000,'DATA DE CONTROLES Y LLAVES'!F$6:F1000},2,FALSE),"")</f>
        <v>MERY</v>
      </c>
      <c r="D314" s="185" t="str">
        <f t="array" ref="D314">IFNA(VLOOKUP(B314,{'DATA DE CONTROLES Y LLAVES'!I$6:I1000,'DATA DE CONTROLES Y LLAVES'!G$6:G1000},2,FALSE),"")</f>
        <v>ROJAS</v>
      </c>
      <c r="E314" s="13" t="s">
        <v>47</v>
      </c>
      <c r="F314" s="176"/>
      <c r="G314" s="176"/>
    </row>
    <row r="315">
      <c r="B315" s="192" t="str">
        <f t="shared" si="2"/>
        <v>57B</v>
      </c>
      <c r="C315" s="185" t="str">
        <f t="array" ref="C315">IFNA(VLOOKUP(B315,{'DATA DE CONTROLES Y LLAVES'!I$6:I1000,'DATA DE CONTROLES Y LLAVES'!F$6:F1000},2,FALSE),"")</f>
        <v>MARITZA</v>
      </c>
      <c r="D315" s="185" t="str">
        <f t="array" ref="D315">IFNA(VLOOKUP(B315,{'DATA DE CONTROLES Y LLAVES'!I$6:I1000,'DATA DE CONTROLES Y LLAVES'!G$6:G1000},2,FALSE),"")</f>
        <v>CARPIO</v>
      </c>
      <c r="E315" s="13" t="s">
        <v>22</v>
      </c>
      <c r="F315" s="176"/>
      <c r="G315" s="176"/>
    </row>
    <row r="316">
      <c r="B316" s="192" t="str">
        <f t="shared" si="2"/>
        <v>58B</v>
      </c>
      <c r="C316" s="185" t="str">
        <f t="array" ref="C316">IFNA(VLOOKUP(B316,{'DATA DE CONTROLES Y LLAVES'!I$6:I1000,'DATA DE CONTROLES Y LLAVES'!F$6:F1000},2,FALSE),"")</f>
        <v>ARTURO</v>
      </c>
      <c r="D316" s="185" t="str">
        <f t="array" ref="D316">IFNA(VLOOKUP(B316,{'DATA DE CONTROLES Y LLAVES'!I$6:I1000,'DATA DE CONTROLES Y LLAVES'!G$6:G1000},2,FALSE),"")</f>
        <v>MADURO</v>
      </c>
      <c r="E316" s="13" t="s">
        <v>22</v>
      </c>
      <c r="F316" s="176"/>
      <c r="G316" s="176"/>
    </row>
    <row r="317">
      <c r="B317" s="192" t="str">
        <f t="shared" si="2"/>
        <v>59B</v>
      </c>
      <c r="C317" s="185" t="str">
        <f t="array" ref="C317">IFNA(VLOOKUP(B317,{'DATA DE CONTROLES Y LLAVES'!I$6:I1000,'DATA DE CONTROLES Y LLAVES'!F$6:F1000},2,FALSE),"")</f>
        <v>VICTOR </v>
      </c>
      <c r="D317" s="185" t="str">
        <f t="array" ref="D317">IFNA(VLOOKUP(B317,{'DATA DE CONTROLES Y LLAVES'!I$6:I1000,'DATA DE CONTROLES Y LLAVES'!G$6:G1000},2,FALSE),"")</f>
        <v>VIEIRA</v>
      </c>
      <c r="E317" s="13" t="s">
        <v>47</v>
      </c>
      <c r="F317" s="176"/>
      <c r="G317" s="176"/>
    </row>
    <row r="318">
      <c r="B318" s="192" t="str">
        <f t="shared" si="2"/>
        <v>60B</v>
      </c>
      <c r="C318" s="185" t="str">
        <f t="array" ref="C318">IFNA(VLOOKUP(B318,{'DATA DE CONTROLES Y LLAVES'!I$6:I1000,'DATA DE CONTROLES Y LLAVES'!F$6:F1000},2,FALSE),"")</f>
        <v>OSDALIS</v>
      </c>
      <c r="D318" s="185" t="str">
        <f t="array" ref="D318">IFNA(VLOOKUP(B318,{'DATA DE CONTROLES Y LLAVES'!I$6:I1000,'DATA DE CONTROLES Y LLAVES'!G$6:G1000},2,FALSE),"")</f>
        <v>MURCIA</v>
      </c>
      <c r="E318" s="13" t="s">
        <v>22</v>
      </c>
      <c r="F318" s="176"/>
      <c r="G318" s="176"/>
    </row>
    <row r="319">
      <c r="B319" s="192" t="str">
        <f t="shared" si="2"/>
        <v>61B</v>
      </c>
      <c r="C319" s="185" t="str">
        <f t="array" ref="C319">IFNA(VLOOKUP(B319,{'DATA DE CONTROLES Y LLAVES'!I$6:I1000,'DATA DE CONTROLES Y LLAVES'!F$6:F1000},2,FALSE),"")</f>
        <v>MARITZA</v>
      </c>
      <c r="D319" s="185" t="str">
        <f t="array" ref="D319">IFNA(VLOOKUP(B319,{'DATA DE CONTROLES Y LLAVES'!I$6:I1000,'DATA DE CONTROLES Y LLAVES'!G$6:G1000},2,FALSE),"")</f>
        <v>CARPIO</v>
      </c>
      <c r="E319" s="13" t="s">
        <v>22</v>
      </c>
      <c r="F319" s="176"/>
      <c r="G319" s="176"/>
    </row>
    <row r="320">
      <c r="B320" s="192" t="str">
        <f t="shared" si="2"/>
        <v>62B</v>
      </c>
      <c r="C320" s="185" t="str">
        <f t="array" ref="C320">IFNA(VLOOKUP(B320,{'DATA DE CONTROLES Y LLAVES'!I$6:I1000,'DATA DE CONTROLES Y LLAVES'!F$6:F1000},2,FALSE),"")</f>
        <v/>
      </c>
      <c r="D320" s="185" t="str">
        <f t="array" ref="D320">IFNA(VLOOKUP(B320,{'DATA DE CONTROLES Y LLAVES'!I$6:I1000,'DATA DE CONTROLES Y LLAVES'!G$6:G1000},2,FALSE),"")</f>
        <v/>
      </c>
      <c r="E320" s="13" t="s">
        <v>22</v>
      </c>
      <c r="F320" s="176"/>
      <c r="G320" s="176"/>
    </row>
    <row r="321">
      <c r="B321" s="192" t="str">
        <f t="shared" si="2"/>
        <v>63B</v>
      </c>
      <c r="C321" s="185" t="str">
        <f t="array" ref="C321">IFNA(VLOOKUP(B321,{'DATA DE CONTROLES Y LLAVES'!I$6:I1000,'DATA DE CONTROLES Y LLAVES'!F$6:F1000},2,FALSE),"")</f>
        <v/>
      </c>
      <c r="D321" s="185" t="str">
        <f t="array" ref="D321">IFNA(VLOOKUP(B321,{'DATA DE CONTROLES Y LLAVES'!I$6:I1000,'DATA DE CONTROLES Y LLAVES'!G$6:G1000},2,FALSE),"")</f>
        <v/>
      </c>
      <c r="E321" s="13" t="s">
        <v>22</v>
      </c>
      <c r="F321" s="176"/>
      <c r="G321" s="176"/>
    </row>
    <row r="322">
      <c r="B322" s="192" t="str">
        <f t="shared" si="2"/>
        <v>64B</v>
      </c>
      <c r="C322" s="185" t="str">
        <f t="array" ref="C322">IFNA(VLOOKUP(B322,{'DATA DE CONTROLES Y LLAVES'!I$6:I1000,'DATA DE CONTROLES Y LLAVES'!F$6:F1000},2,FALSE),"")</f>
        <v>HILDEBRANDO</v>
      </c>
      <c r="D322" s="185" t="str">
        <f t="array" ref="D322">IFNA(VLOOKUP(B322,{'DATA DE CONTROLES Y LLAVES'!I$6:I1000,'DATA DE CONTROLES Y LLAVES'!G$6:G1000},2,FALSE),"")</f>
        <v>RODRÍGUEZ</v>
      </c>
      <c r="E322" s="13" t="s">
        <v>47</v>
      </c>
      <c r="F322" s="176"/>
      <c r="G322" s="176"/>
    </row>
    <row r="323">
      <c r="B323" s="192" t="str">
        <f t="shared" si="2"/>
        <v>65B</v>
      </c>
      <c r="C323" s="185" t="str">
        <f t="array" ref="C323">IFNA(VLOOKUP(B323,{'DATA DE CONTROLES Y LLAVES'!I$6:I1000,'DATA DE CONTROLES Y LLAVES'!F$6:F1000},2,FALSE),"")</f>
        <v>Armando </v>
      </c>
      <c r="D323" s="185" t="str">
        <f t="array" ref="D323">IFNA(VLOOKUP(B323,{'DATA DE CONTROLES Y LLAVES'!I$6:I1000,'DATA DE CONTROLES Y LLAVES'!G$6:G1000},2,FALSE),"")</f>
        <v>Brito</v>
      </c>
      <c r="E323" s="13" t="s">
        <v>22</v>
      </c>
      <c r="F323" s="176"/>
      <c r="G323" s="176"/>
    </row>
    <row r="324">
      <c r="B324" s="192" t="str">
        <f t="shared" si="2"/>
        <v>66B</v>
      </c>
      <c r="C324" s="185" t="str">
        <f t="array" ref="C324">IFNA(VLOOKUP(B324,{'DATA DE CONTROLES Y LLAVES'!I$6:I1000,'DATA DE CONTROLES Y LLAVES'!F$6:F1000},2,FALSE),"")</f>
        <v>JOSÉ</v>
      </c>
      <c r="D324" s="185" t="str">
        <f t="array" ref="D324">IFNA(VLOOKUP(B324,{'DATA DE CONTROLES Y LLAVES'!I$6:I1000,'DATA DE CONTROLES Y LLAVES'!G$6:G1000},2,FALSE),"")</f>
        <v>ACOSTA</v>
      </c>
      <c r="E324" s="13" t="s">
        <v>22</v>
      </c>
      <c r="F324" s="176"/>
      <c r="G324" s="176"/>
    </row>
    <row r="325">
      <c r="B325" s="192" t="str">
        <f t="shared" si="2"/>
        <v>67B</v>
      </c>
      <c r="C325" s="185" t="str">
        <f t="array" ref="C325">IFNA(VLOOKUP(B325,{'DATA DE CONTROLES Y LLAVES'!I$6:I1000,'DATA DE CONTROLES Y LLAVES'!F$6:F1000},2,FALSE),"")</f>
        <v/>
      </c>
      <c r="D325" s="185" t="str">
        <f t="array" ref="D325">IFNA(VLOOKUP(B325,{'DATA DE CONTROLES Y LLAVES'!I$6:I1000,'DATA DE CONTROLES Y LLAVES'!G$6:G1000},2,FALSE),"")</f>
        <v/>
      </c>
      <c r="E325" s="13" t="s">
        <v>47</v>
      </c>
      <c r="F325" s="176"/>
      <c r="G325" s="176"/>
    </row>
    <row r="326">
      <c r="B326" s="192" t="str">
        <f t="shared" si="2"/>
        <v>68B</v>
      </c>
      <c r="C326" s="185" t="str">
        <f t="array" ref="C326">IFNA(VLOOKUP(B326,{'DATA DE CONTROLES Y LLAVES'!I$6:I1000,'DATA DE CONTROLES Y LLAVES'!F$6:F1000},2,FALSE),"")</f>
        <v/>
      </c>
      <c r="D326" s="185" t="str">
        <f t="array" ref="D326">IFNA(VLOOKUP(B326,{'DATA DE CONTROLES Y LLAVES'!I$6:I1000,'DATA DE CONTROLES Y LLAVES'!G$6:G1000},2,FALSE),"")</f>
        <v/>
      </c>
      <c r="E326" s="13" t="s">
        <v>47</v>
      </c>
      <c r="F326" s="176"/>
      <c r="G326" s="176"/>
    </row>
    <row r="327">
      <c r="B327" s="192" t="str">
        <f t="shared" si="2"/>
        <v>69B</v>
      </c>
      <c r="C327" s="185" t="str">
        <f t="array" ref="C327">IFNA(VLOOKUP(B327,{'DATA DE CONTROLES Y LLAVES'!I$6:I1000,'DATA DE CONTROLES Y LLAVES'!F$6:F1000},2,FALSE),"")</f>
        <v/>
      </c>
      <c r="D327" s="185" t="str">
        <f t="array" ref="D327">IFNA(VLOOKUP(B327,{'DATA DE CONTROLES Y LLAVES'!I$6:I1000,'DATA DE CONTROLES Y LLAVES'!G$6:G1000},2,FALSE),"")</f>
        <v/>
      </c>
      <c r="E327" s="13" t="s">
        <v>47</v>
      </c>
      <c r="F327" s="176"/>
      <c r="G327" s="176"/>
    </row>
    <row r="328">
      <c r="B328" s="192" t="str">
        <f t="shared" si="2"/>
        <v>70B</v>
      </c>
      <c r="C328" s="185" t="str">
        <f t="array" ref="C328">IFNA(VLOOKUP(B328,{'DATA DE CONTROLES Y LLAVES'!I$6:I1000,'DATA DE CONTROLES Y LLAVES'!F$6:F1000},2,FALSE),"")</f>
        <v/>
      </c>
      <c r="D328" s="185" t="str">
        <f t="array" ref="D328">IFNA(VLOOKUP(B328,{'DATA DE CONTROLES Y LLAVES'!I$6:I1000,'DATA DE CONTROLES Y LLAVES'!G$6:G1000},2,FALSE),"")</f>
        <v/>
      </c>
      <c r="E328" s="13" t="s">
        <v>47</v>
      </c>
      <c r="F328" s="176"/>
      <c r="G328" s="176"/>
    </row>
    <row r="329">
      <c r="B329" s="192" t="str">
        <f t="shared" si="2"/>
        <v>71B</v>
      </c>
      <c r="C329" s="185" t="str">
        <f t="array" ref="C329">IFNA(VLOOKUP(B329,{'DATA DE CONTROLES Y LLAVES'!I$6:I1000,'DATA DE CONTROLES Y LLAVES'!F$6:F1000},2,FALSE),"")</f>
        <v>JOEL</v>
      </c>
      <c r="D329" s="185" t="str">
        <f t="array" ref="D329">IFNA(VLOOKUP(B329,{'DATA DE CONTROLES Y LLAVES'!I$6:I1000,'DATA DE CONTROLES Y LLAVES'!G$6:G1000},2,FALSE),"")</f>
        <v>CARVAJAL</v>
      </c>
      <c r="E329" s="13" t="s">
        <v>47</v>
      </c>
      <c r="F329" s="176"/>
      <c r="G329" s="176"/>
    </row>
    <row r="330">
      <c r="B330" s="192" t="str">
        <f t="shared" si="2"/>
        <v>72B</v>
      </c>
      <c r="C330" s="185" t="str">
        <f t="array" ref="C330">IFNA(VLOOKUP(B330,{'DATA DE CONTROLES Y LLAVES'!I$6:I1000,'DATA DE CONTROLES Y LLAVES'!F$6:F1000},2,FALSE),"")</f>
        <v>FELICIA</v>
      </c>
      <c r="D330" s="185" t="str">
        <f t="array" ref="D330">IFNA(VLOOKUP(B330,{'DATA DE CONTROLES Y LLAVES'!I$6:I1000,'DATA DE CONTROLES Y LLAVES'!G$6:G1000},2,FALSE),"")</f>
        <v>LUGO</v>
      </c>
      <c r="E330" s="13" t="s">
        <v>22</v>
      </c>
      <c r="F330" s="176"/>
      <c r="G330" s="176"/>
    </row>
    <row r="331">
      <c r="B331" s="192" t="str">
        <f t="shared" si="2"/>
        <v>73B</v>
      </c>
      <c r="C331" s="185" t="str">
        <f t="array" ref="C331">IFNA(VLOOKUP(B331,{'DATA DE CONTROLES Y LLAVES'!I$6:I1000,'DATA DE CONTROLES Y LLAVES'!F$6:F1000},2,FALSE),"")</f>
        <v>LEONARDO</v>
      </c>
      <c r="D331" s="185" t="str">
        <f t="array" ref="D331">IFNA(VLOOKUP(B331,{'DATA DE CONTROLES Y LLAVES'!I$6:I1000,'DATA DE CONTROLES Y LLAVES'!G$6:G1000},2,FALSE),"")</f>
        <v>PADRINO</v>
      </c>
      <c r="E331" s="13" t="s">
        <v>22</v>
      </c>
      <c r="F331" s="176"/>
      <c r="G331" s="176"/>
    </row>
    <row r="332">
      <c r="B332" s="192" t="str">
        <f t="shared" si="2"/>
        <v>74B</v>
      </c>
      <c r="C332" s="185" t="str">
        <f t="array" ref="C332">IFNA(VLOOKUP(B332,{'DATA DE CONTROLES Y LLAVES'!I$6:I1000,'DATA DE CONTROLES Y LLAVES'!F$6:F1000},2,FALSE),"")</f>
        <v>LEONARDO</v>
      </c>
      <c r="D332" s="185" t="str">
        <f t="array" ref="D332">IFNA(VLOOKUP(B332,{'DATA DE CONTROLES Y LLAVES'!I$6:I1000,'DATA DE CONTROLES Y LLAVES'!G$6:G1000},2,FALSE),"")</f>
        <v>PADRINO</v>
      </c>
      <c r="E332" s="13" t="s">
        <v>22</v>
      </c>
      <c r="F332" s="176"/>
      <c r="G332" s="176"/>
    </row>
    <row r="333">
      <c r="B333" s="192" t="str">
        <f t="shared" si="2"/>
        <v>75B</v>
      </c>
      <c r="C333" s="185" t="str">
        <f t="array" ref="C333">IFNA(VLOOKUP(B333,{'DATA DE CONTROLES Y LLAVES'!I$6:I1000,'DATA DE CONTROLES Y LLAVES'!F$6:F1000},2,FALSE),"")</f>
        <v>JOEL</v>
      </c>
      <c r="D333" s="185" t="str">
        <f t="array" ref="D333">IFNA(VLOOKUP(B333,{'DATA DE CONTROLES Y LLAVES'!I$6:I1000,'DATA DE CONTROLES Y LLAVES'!G$6:G1000},2,FALSE),"")</f>
        <v>SOJO</v>
      </c>
      <c r="E333" s="13" t="s">
        <v>22</v>
      </c>
      <c r="F333" s="176"/>
      <c r="G333" s="176"/>
    </row>
    <row r="334">
      <c r="B334" s="192" t="str">
        <f t="shared" si="2"/>
        <v>76B</v>
      </c>
      <c r="C334" s="185" t="str">
        <f t="array" ref="C334">IFNA(VLOOKUP(B334,{'DATA DE CONTROLES Y LLAVES'!I$6:I1000,'DATA DE CONTROLES Y LLAVES'!F$6:F1000},2,FALSE),"")</f>
        <v>nieta alois</v>
      </c>
      <c r="D334" s="185" t="str">
        <f t="array" ref="D334">IFNA(VLOOKUP(B334,{'DATA DE CONTROLES Y LLAVES'!I$6:I1000,'DATA DE CONTROLES Y LLAVES'!G$6:G1000},2,FALSE),"")</f>
        <v>QUIJANOS</v>
      </c>
      <c r="E334" s="13" t="s">
        <v>22</v>
      </c>
      <c r="F334" s="176"/>
      <c r="G334" s="176"/>
    </row>
    <row r="335">
      <c r="B335" s="192" t="str">
        <f t="shared" si="2"/>
        <v>77B</v>
      </c>
      <c r="C335" s="185" t="str">
        <f t="array" ref="C335">IFNA(VLOOKUP(B335,{'DATA DE CONTROLES Y LLAVES'!I$6:I1000,'DATA DE CONTROLES Y LLAVES'!F$6:F1000},2,FALSE),"")</f>
        <v/>
      </c>
      <c r="D335" s="185" t="str">
        <f t="array" ref="D335">IFNA(VLOOKUP(B335,{'DATA DE CONTROLES Y LLAVES'!I$6:I1000,'DATA DE CONTROLES Y LLAVES'!G$6:G1000},2,FALSE),"")</f>
        <v/>
      </c>
      <c r="E335" s="13" t="s">
        <v>47</v>
      </c>
      <c r="F335" s="176"/>
      <c r="G335" s="176"/>
    </row>
    <row r="336">
      <c r="B336" s="192" t="str">
        <f t="shared" si="2"/>
        <v>78B</v>
      </c>
      <c r="C336" s="185" t="str">
        <f t="array" ref="C336">IFNA(VLOOKUP(B336,{'DATA DE CONTROLES Y LLAVES'!I$6:I1000,'DATA DE CONTROLES Y LLAVES'!F$6:F1000},2,FALSE),"")</f>
        <v>ROSA</v>
      </c>
      <c r="D336" s="185" t="str">
        <f t="array" ref="D336">IFNA(VLOOKUP(B336,{'DATA DE CONTROLES Y LLAVES'!I$6:I1000,'DATA DE CONTROLES Y LLAVES'!G$6:G1000},2,FALSE),"")</f>
        <v>CRESPO</v>
      </c>
      <c r="E336" s="13" t="s">
        <v>22</v>
      </c>
      <c r="F336" s="176"/>
      <c r="G336" s="176"/>
    </row>
    <row r="337">
      <c r="B337" s="192" t="str">
        <f t="shared" si="2"/>
        <v>79B</v>
      </c>
      <c r="C337" s="185" t="str">
        <f t="array" ref="C337">IFNA(VLOOKUP(B337,{'DATA DE CONTROLES Y LLAVES'!I$6:I1000,'DATA DE CONTROLES Y LLAVES'!F$6:F1000},2,FALSE),"")</f>
        <v>ANA KARINA</v>
      </c>
      <c r="D337" s="185" t="str">
        <f t="array" ref="D337">IFNA(VLOOKUP(B337,{'DATA DE CONTROLES Y LLAVES'!I$6:I1000,'DATA DE CONTROLES Y LLAVES'!G$6:G1000},2,FALSE),"")</f>
        <v>SUCRE</v>
      </c>
      <c r="E337" s="13" t="s">
        <v>22</v>
      </c>
      <c r="F337" s="176"/>
      <c r="G337" s="176"/>
    </row>
    <row r="338">
      <c r="B338" s="192" t="str">
        <f t="shared" si="2"/>
        <v>80B</v>
      </c>
      <c r="C338" s="185" t="str">
        <f t="array" ref="C338">IFNA(VLOOKUP(B338,{'DATA DE CONTROLES Y LLAVES'!I$6:I1000,'DATA DE CONTROLES Y LLAVES'!F$6:F1000},2,FALSE),"")</f>
        <v>JOALDY </v>
      </c>
      <c r="D338" s="185" t="str">
        <f t="array" ref="D338">IFNA(VLOOKUP(B338,{'DATA DE CONTROLES Y LLAVES'!I$6:I1000,'DATA DE CONTROLES Y LLAVES'!G$6:G1000},2,FALSE),"")</f>
        <v>DEYON</v>
      </c>
      <c r="E338" s="13" t="s">
        <v>22</v>
      </c>
      <c r="F338" s="176"/>
      <c r="G338" s="176"/>
    </row>
    <row r="339">
      <c r="B339" s="192" t="str">
        <f t="shared" si="2"/>
        <v>81B</v>
      </c>
      <c r="C339" s="185" t="str">
        <f t="array" ref="C339">IFNA(VLOOKUP(B339,{'DATA DE CONTROLES Y LLAVES'!I$6:I1000,'DATA DE CONTROLES Y LLAVES'!F$6:F1000},2,FALSE),"")</f>
        <v>EDUARDO</v>
      </c>
      <c r="D339" s="185" t="str">
        <f t="array" ref="D339">IFNA(VLOOKUP(B339,{'DATA DE CONTROLES Y LLAVES'!I$6:I1000,'DATA DE CONTROLES Y LLAVES'!G$6:G1000},2,FALSE),"")</f>
        <v>MELO</v>
      </c>
      <c r="E339" s="13" t="s">
        <v>22</v>
      </c>
      <c r="F339" s="176"/>
      <c r="G339" s="176"/>
    </row>
    <row r="340">
      <c r="B340" s="192" t="str">
        <f t="shared" si="2"/>
        <v>82B</v>
      </c>
      <c r="C340" s="185" t="str">
        <f t="array" ref="C340">IFNA(VLOOKUP(B340,{'DATA DE CONTROLES Y LLAVES'!I$6:I1000,'DATA DE CONTROLES Y LLAVES'!F$6:F1000},2,FALSE),"")</f>
        <v/>
      </c>
      <c r="D340" s="185" t="str">
        <f t="array" ref="D340">IFNA(VLOOKUP(B340,{'DATA DE CONTROLES Y LLAVES'!I$6:I1000,'DATA DE CONTROLES Y LLAVES'!G$6:G1000},2,FALSE),"")</f>
        <v/>
      </c>
      <c r="E340" s="13" t="s">
        <v>47</v>
      </c>
      <c r="F340" s="176"/>
      <c r="G340" s="176"/>
    </row>
    <row r="341">
      <c r="B341" s="192" t="str">
        <f t="shared" si="2"/>
        <v>83B</v>
      </c>
      <c r="C341" s="185" t="str">
        <f t="array" ref="C341">IFNA(VLOOKUP(B341,{'DATA DE CONTROLES Y LLAVES'!I$6:I1000,'DATA DE CONTROLES Y LLAVES'!F$6:F1000},2,FALSE),"")</f>
        <v>IDOSELVA</v>
      </c>
      <c r="D341" s="185" t="str">
        <f t="array" ref="D341">IFNA(VLOOKUP(B341,{'DATA DE CONTROLES Y LLAVES'!I$6:I1000,'DATA DE CONTROLES Y LLAVES'!G$6:G1000},2,FALSE),"")</f>
        <v>MORALES</v>
      </c>
      <c r="E341" s="13" t="s">
        <v>22</v>
      </c>
      <c r="F341" s="176"/>
      <c r="G341" s="176"/>
    </row>
    <row r="342">
      <c r="B342" s="192" t="str">
        <f t="shared" si="2"/>
        <v>84B</v>
      </c>
      <c r="C342" s="185" t="str">
        <f t="array" ref="C342">IFNA(VLOOKUP(B342,{'DATA DE CONTROLES Y LLAVES'!I$6:I1000,'DATA DE CONTROLES Y LLAVES'!F$6:F1000},2,FALSE),"")</f>
        <v/>
      </c>
      <c r="D342" s="185" t="str">
        <f t="array" ref="D342">IFNA(VLOOKUP(B342,{'DATA DE CONTROLES Y LLAVES'!I$6:I1000,'DATA DE CONTROLES Y LLAVES'!G$6:G1000},2,FALSE),"")</f>
        <v/>
      </c>
      <c r="E342" s="13" t="s">
        <v>47</v>
      </c>
      <c r="F342" s="176"/>
      <c r="G342" s="176"/>
    </row>
    <row r="343">
      <c r="B343" s="192" t="str">
        <f t="shared" si="2"/>
        <v>85B</v>
      </c>
      <c r="C343" s="185" t="str">
        <f t="array" ref="C343">IFNA(VLOOKUP(B343,{'DATA DE CONTROLES Y LLAVES'!I$6:I1000,'DATA DE CONTROLES Y LLAVES'!F$6:F1000},2,FALSE),"")</f>
        <v>DEISY</v>
      </c>
      <c r="D343" s="185" t="str">
        <f t="array" ref="D343">IFNA(VLOOKUP(B343,{'DATA DE CONTROLES Y LLAVES'!I$6:I1000,'DATA DE CONTROLES Y LLAVES'!G$6:G1000},2,FALSE),"")</f>
        <v>DIAZ</v>
      </c>
      <c r="E343" s="13" t="s">
        <v>22</v>
      </c>
      <c r="F343" s="176"/>
      <c r="G343" s="176"/>
    </row>
    <row r="344">
      <c r="B344" s="192" t="str">
        <f t="shared" si="2"/>
        <v>86B</v>
      </c>
      <c r="C344" s="185" t="str">
        <f t="array" ref="C344">IFNA(VLOOKUP(B344,{'DATA DE CONTROLES Y LLAVES'!I$6:I1000,'DATA DE CONTROLES Y LLAVES'!F$6:F1000},2,FALSE),"")</f>
        <v/>
      </c>
      <c r="D344" s="185" t="str">
        <f t="array" ref="D344">IFNA(VLOOKUP(B344,{'DATA DE CONTROLES Y LLAVES'!I$6:I1000,'DATA DE CONTROLES Y LLAVES'!G$6:G1000},2,FALSE),"")</f>
        <v/>
      </c>
      <c r="E344" s="13" t="s">
        <v>47</v>
      </c>
      <c r="F344" s="176"/>
      <c r="G344" s="176"/>
    </row>
    <row r="345">
      <c r="B345" s="192" t="str">
        <f t="shared" si="2"/>
        <v>87B</v>
      </c>
      <c r="C345" s="185" t="str">
        <f t="array" ref="C345">IFNA(VLOOKUP(B345,{'DATA DE CONTROLES Y LLAVES'!I$6:I1000,'DATA DE CONTROLES Y LLAVES'!F$6:F1000},2,FALSE),"")</f>
        <v>MILDRED</v>
      </c>
      <c r="D345" s="185" t="str">
        <f t="array" ref="D345">IFNA(VLOOKUP(B345,{'DATA DE CONTROLES Y LLAVES'!I$6:I1000,'DATA DE CONTROLES Y LLAVES'!G$6:G1000},2,FALSE),"")</f>
        <v>GÓMEZ</v>
      </c>
      <c r="E345" s="13" t="s">
        <v>22</v>
      </c>
      <c r="F345" s="176"/>
      <c r="G345" s="176"/>
    </row>
    <row r="346">
      <c r="B346" s="192" t="str">
        <f t="shared" si="2"/>
        <v>88B</v>
      </c>
      <c r="C346" s="185" t="str">
        <f t="array" ref="C346">IFNA(VLOOKUP(B346,{'DATA DE CONTROLES Y LLAVES'!I$6:I1000,'DATA DE CONTROLES Y LLAVES'!F$6:F1000},2,FALSE),"")</f>
        <v>JESSICA</v>
      </c>
      <c r="D346" s="185" t="str">
        <f t="array" ref="D346">IFNA(VLOOKUP(B346,{'DATA DE CONTROLES Y LLAVES'!I$6:I1000,'DATA DE CONTROLES Y LLAVES'!G$6:G1000},2,FALSE),"")</f>
        <v>QUIJANOS</v>
      </c>
      <c r="E346" s="13" t="s">
        <v>22</v>
      </c>
      <c r="F346" s="176"/>
      <c r="G346" s="176"/>
    </row>
    <row r="347">
      <c r="B347" s="192" t="str">
        <f t="shared" si="2"/>
        <v>89B</v>
      </c>
      <c r="C347" s="185" t="str">
        <f t="array" ref="C347">IFNA(VLOOKUP(B347,{'DATA DE CONTROLES Y LLAVES'!I$6:I1000,'DATA DE CONTROLES Y LLAVES'!F$6:F1000},2,FALSE),"")</f>
        <v>PEDRO</v>
      </c>
      <c r="D347" s="185" t="str">
        <f t="array" ref="D347">IFNA(VLOOKUP(B347,{'DATA DE CONTROLES Y LLAVES'!I$6:I1000,'DATA DE CONTROLES Y LLAVES'!G$6:G1000},2,FALSE),"")</f>
        <v>PIÑATE</v>
      </c>
      <c r="E347" s="13" t="s">
        <v>260</v>
      </c>
      <c r="F347" s="176"/>
      <c r="G347" s="176"/>
    </row>
    <row r="348">
      <c r="B348" s="192" t="str">
        <f t="shared" si="2"/>
        <v>90B</v>
      </c>
      <c r="C348" s="185" t="str">
        <f t="array" ref="C348">IFNA(VLOOKUP(B348,{'DATA DE CONTROLES Y LLAVES'!I$6:I1000,'DATA DE CONTROLES Y LLAVES'!F$6:F1000},2,FALSE),"")</f>
        <v/>
      </c>
      <c r="D348" s="185" t="str">
        <f t="array" ref="D348">IFNA(VLOOKUP(B348,{'DATA DE CONTROLES Y LLAVES'!I$6:I1000,'DATA DE CONTROLES Y LLAVES'!G$6:G1000},2,FALSE),"")</f>
        <v/>
      </c>
      <c r="E348" s="13" t="s">
        <v>22</v>
      </c>
      <c r="F348" s="176"/>
      <c r="G348" s="176"/>
    </row>
    <row r="349">
      <c r="B349" s="192" t="str">
        <f t="shared" si="2"/>
        <v>91B</v>
      </c>
      <c r="C349" s="185" t="str">
        <f t="array" ref="C349">IFNA(VLOOKUP(B349,{'DATA DE CONTROLES Y LLAVES'!I$6:I1000,'DATA DE CONTROLES Y LLAVES'!F$6:F1000},2,FALSE),"")</f>
        <v/>
      </c>
      <c r="D349" s="185" t="str">
        <f t="array" ref="D349">IFNA(VLOOKUP(B349,{'DATA DE CONTROLES Y LLAVES'!I$6:I1000,'DATA DE CONTROLES Y LLAVES'!G$6:G1000},2,FALSE),"")</f>
        <v/>
      </c>
      <c r="E349" s="13" t="s">
        <v>22</v>
      </c>
      <c r="F349" s="176"/>
      <c r="G349" s="176"/>
    </row>
    <row r="350">
      <c r="B350" s="192" t="str">
        <f t="shared" si="2"/>
        <v>92B</v>
      </c>
      <c r="C350" s="185" t="str">
        <f t="array" ref="C350">IFNA(VLOOKUP(B350,{'DATA DE CONTROLES Y LLAVES'!I$6:I1000,'DATA DE CONTROLES Y LLAVES'!F$6:F1000},2,FALSE),"")</f>
        <v>CARLOS</v>
      </c>
      <c r="D350" s="185" t="str">
        <f t="array" ref="D350">IFNA(VLOOKUP(B350,{'DATA DE CONTROLES Y LLAVES'!I$6:I1000,'DATA DE CONTROLES Y LLAVES'!G$6:G1000},2,FALSE),"")</f>
        <v>ROJAS</v>
      </c>
      <c r="E350" s="13" t="s">
        <v>47</v>
      </c>
      <c r="F350" s="176"/>
      <c r="G350" s="176"/>
    </row>
    <row r="351">
      <c r="B351" s="192" t="str">
        <f t="shared" si="2"/>
        <v>93B</v>
      </c>
      <c r="C351" s="185" t="str">
        <f t="array" ref="C351">IFNA(VLOOKUP(B351,{'DATA DE CONTROLES Y LLAVES'!I$6:I1000,'DATA DE CONTROLES Y LLAVES'!F$6:F1000},2,FALSE),"")</f>
        <v>ANGELO</v>
      </c>
      <c r="D351" s="185" t="str">
        <f t="array" ref="D351">IFNA(VLOOKUP(B351,{'DATA DE CONTROLES Y LLAVES'!I$6:I1000,'DATA DE CONTROLES Y LLAVES'!G$6:G1000},2,FALSE),"")</f>
        <v>BIANCO</v>
      </c>
      <c r="E351" s="13" t="s">
        <v>22</v>
      </c>
      <c r="F351" s="176"/>
      <c r="G351" s="176"/>
    </row>
    <row r="352">
      <c r="B352" s="192" t="str">
        <f t="shared" si="2"/>
        <v>94B</v>
      </c>
      <c r="C352" s="185" t="str">
        <f t="array" ref="C352">IFNA(VLOOKUP(B352,{'DATA DE CONTROLES Y LLAVES'!I$6:I1000,'DATA DE CONTROLES Y LLAVES'!F$6:F1000},2,FALSE),"")</f>
        <v>SOUMER </v>
      </c>
      <c r="D352" s="185" t="str">
        <f t="array" ref="D352">IFNA(VLOOKUP(B352,{'DATA DE CONTROLES Y LLAVES'!I$6:I1000,'DATA DE CONTROLES Y LLAVES'!G$6:G1000},2,FALSE),"")</f>
        <v>GOMEZ</v>
      </c>
      <c r="E352" s="13" t="s">
        <v>22</v>
      </c>
      <c r="F352" s="176"/>
      <c r="G352" s="176"/>
    </row>
    <row r="353">
      <c r="B353" s="192" t="str">
        <f t="shared" si="2"/>
        <v>95B</v>
      </c>
      <c r="C353" s="185" t="str">
        <f t="array" ref="C353">IFNA(VLOOKUP(B353,{'DATA DE CONTROLES Y LLAVES'!I$6:I1000,'DATA DE CONTROLES Y LLAVES'!F$6:F1000},2,FALSE),"")</f>
        <v/>
      </c>
      <c r="D353" s="185" t="str">
        <f t="array" ref="D353">IFNA(VLOOKUP(B353,{'DATA DE CONTROLES Y LLAVES'!I$6:I1000,'DATA DE CONTROLES Y LLAVES'!G$6:G1000},2,FALSE),"")</f>
        <v/>
      </c>
      <c r="E353" s="13" t="s">
        <v>22</v>
      </c>
      <c r="F353" s="176"/>
      <c r="G353" s="176"/>
    </row>
    <row r="354">
      <c r="B354" s="192" t="str">
        <f t="shared" si="2"/>
        <v>96B</v>
      </c>
      <c r="C354" s="185" t="str">
        <f t="array" ref="C354">IFNA(VLOOKUP(B354,{'DATA DE CONTROLES Y LLAVES'!I$6:I1000,'DATA DE CONTROLES Y LLAVES'!F$6:F1000},2,FALSE),"")</f>
        <v/>
      </c>
      <c r="D354" s="185" t="str">
        <f t="array" ref="D354">IFNA(VLOOKUP(B354,{'DATA DE CONTROLES Y LLAVES'!I$6:I1000,'DATA DE CONTROLES Y LLAVES'!G$6:G1000},2,FALSE),"")</f>
        <v/>
      </c>
      <c r="E354" s="13" t="s">
        <v>22</v>
      </c>
      <c r="F354" s="176"/>
      <c r="G354" s="176"/>
    </row>
    <row r="355">
      <c r="B355" s="192" t="str">
        <f t="shared" si="2"/>
        <v>97B</v>
      </c>
      <c r="C355" s="185" t="str">
        <f t="array" ref="C355">IFNA(VLOOKUP(B355,{'DATA DE CONTROLES Y LLAVES'!I$6:I1000,'DATA DE CONTROLES Y LLAVES'!F$6:F1000},2,FALSE),"")</f>
        <v>REGSY</v>
      </c>
      <c r="D355" s="185" t="str">
        <f t="array" ref="D355">IFNA(VLOOKUP(B355,{'DATA DE CONTROLES Y LLAVES'!I$6:I1000,'DATA DE CONTROLES Y LLAVES'!G$6:G1000},2,FALSE),"")</f>
        <v>GUILLERMO</v>
      </c>
      <c r="E355" s="13" t="s">
        <v>22</v>
      </c>
      <c r="F355" s="176"/>
      <c r="G355" s="176"/>
    </row>
    <row r="356">
      <c r="B356" s="192" t="str">
        <f t="shared" si="2"/>
        <v>98B</v>
      </c>
      <c r="C356" s="185" t="str">
        <f t="array" ref="C356">IFNA(VLOOKUP(B356,{'DATA DE CONTROLES Y LLAVES'!I$6:I1000,'DATA DE CONTROLES Y LLAVES'!F$6:F1000},2,FALSE),"")</f>
        <v/>
      </c>
      <c r="D356" s="185" t="str">
        <f t="array" ref="D356">IFNA(VLOOKUP(B356,{'DATA DE CONTROLES Y LLAVES'!I$6:I1000,'DATA DE CONTROLES Y LLAVES'!G$6:G1000},2,FALSE),"")</f>
        <v/>
      </c>
      <c r="E356" s="13" t="s">
        <v>22</v>
      </c>
      <c r="F356" s="176"/>
      <c r="G356" s="176"/>
    </row>
    <row r="357">
      <c r="B357" s="192" t="str">
        <f t="shared" si="2"/>
        <v>99B</v>
      </c>
      <c r="C357" s="185" t="str">
        <f t="array" ref="C357">IFNA(VLOOKUP(B357,{'DATA DE CONTROLES Y LLAVES'!I$6:I1000,'DATA DE CONTROLES Y LLAVES'!F$6:F1000},2,FALSE),"")</f>
        <v>AROLDO</v>
      </c>
      <c r="D357" s="185" t="str">
        <f t="array" ref="D357">IFNA(VLOOKUP(B357,{'DATA DE CONTROLES Y LLAVES'!I$6:I1000,'DATA DE CONTROLES Y LLAVES'!G$6:G1000},2,FALSE),"")</f>
        <v>SUCRE</v>
      </c>
      <c r="E357" s="13" t="s">
        <v>22</v>
      </c>
      <c r="F357" s="176"/>
      <c r="G357" s="176"/>
    </row>
    <row r="358">
      <c r="B358" s="192" t="str">
        <f t="shared" si="2"/>
        <v>100B</v>
      </c>
      <c r="C358" s="185" t="str">
        <f t="array" ref="C358">IFNA(VLOOKUP(B358,{'DATA DE CONTROLES Y LLAVES'!I$6:I1000,'DATA DE CONTROLES Y LLAVES'!F$6:F1000},2,FALSE),"")</f>
        <v>JHONNY</v>
      </c>
      <c r="D358" s="185" t="str">
        <f t="array" ref="D358">IFNA(VLOOKUP(B358,{'DATA DE CONTROLES Y LLAVES'!I$6:I1000,'DATA DE CONTROLES Y LLAVES'!G$6:G1000},2,FALSE),"")</f>
        <v>ASTUDILLO</v>
      </c>
      <c r="E358" s="13" t="s">
        <v>22</v>
      </c>
      <c r="F358" s="176"/>
      <c r="G358" s="176"/>
    </row>
    <row r="359">
      <c r="B359" s="192" t="str">
        <f t="shared" si="2"/>
        <v>101B</v>
      </c>
      <c r="C359" s="185" t="str">
        <f t="array" ref="C359">IFNA(VLOOKUP(B359,{'DATA DE CONTROLES Y LLAVES'!I$6:I1000,'DATA DE CONTROLES Y LLAVES'!F$6:F1000},2,FALSE),"")</f>
        <v>PEDRO </v>
      </c>
      <c r="D359" s="185" t="str">
        <f t="array" ref="D359">IFNA(VLOOKUP(B359,{'DATA DE CONTROLES Y LLAVES'!I$6:I1000,'DATA DE CONTROLES Y LLAVES'!G$6:G1000},2,FALSE),"")</f>
        <v>LOZADA</v>
      </c>
      <c r="E359" s="13" t="s">
        <v>22</v>
      </c>
      <c r="F359" s="176"/>
      <c r="G359" s="176"/>
    </row>
    <row r="360">
      <c r="B360" s="192" t="str">
        <f t="shared" si="2"/>
        <v>102B</v>
      </c>
      <c r="C360" s="185" t="str">
        <f t="array" ref="C360">IFNA(VLOOKUP(B360,{'DATA DE CONTROLES Y LLAVES'!I$6:I1000,'DATA DE CONTROLES Y LLAVES'!F$6:F1000},2,FALSE),"")</f>
        <v>Gabriela </v>
      </c>
      <c r="D360" s="185" t="str">
        <f t="array" ref="D360">IFNA(VLOOKUP(B360,{'DATA DE CONTROLES Y LLAVES'!I$6:I1000,'DATA DE CONTROLES Y LLAVES'!G$6:G1000},2,FALSE),"")</f>
        <v>Sojo</v>
      </c>
      <c r="E360" s="13" t="s">
        <v>22</v>
      </c>
      <c r="F360" s="176"/>
      <c r="G360" s="176"/>
    </row>
    <row r="361">
      <c r="B361" s="192" t="str">
        <f t="shared" si="2"/>
        <v>103B</v>
      </c>
      <c r="C361" s="185" t="str">
        <f t="array" ref="C361">IFNA(VLOOKUP(B361,{'DATA DE CONTROLES Y LLAVES'!I$6:I1000,'DATA DE CONTROLES Y LLAVES'!F$6:F1000},2,FALSE),"")</f>
        <v>johendry</v>
      </c>
      <c r="D361" s="185" t="str">
        <f t="array" ref="D361">IFNA(VLOOKUP(B361,{'DATA DE CONTROLES Y LLAVES'!I$6:I1000,'DATA DE CONTROLES Y LLAVES'!G$6:G1000},2,FALSE),"")</f>
        <v>blq 24</v>
      </c>
      <c r="E361" s="13" t="s">
        <v>22</v>
      </c>
      <c r="F361" s="176"/>
      <c r="G361" s="176"/>
    </row>
    <row r="362">
      <c r="B362" s="192" t="str">
        <f t="shared" si="2"/>
        <v>104B</v>
      </c>
      <c r="C362" s="185" t="str">
        <f t="array" ref="C362">IFNA(VLOOKUP(B362,{'DATA DE CONTROLES Y LLAVES'!I$6:I1000,'DATA DE CONTROLES Y LLAVES'!F$6:F1000},2,FALSE),"")</f>
        <v/>
      </c>
      <c r="D362" s="185" t="str">
        <f t="array" ref="D362">IFNA(VLOOKUP(B362,{'DATA DE CONTROLES Y LLAVES'!I$6:I1000,'DATA DE CONTROLES Y LLAVES'!G$6:G1000},2,FALSE),"")</f>
        <v/>
      </c>
      <c r="E362" s="13" t="s">
        <v>22</v>
      </c>
      <c r="F362" s="176"/>
      <c r="G362" s="176"/>
    </row>
    <row r="363">
      <c r="B363" s="192" t="str">
        <f t="shared" si="2"/>
        <v>105B</v>
      </c>
      <c r="C363" s="185" t="str">
        <f t="array" ref="C363">IFNA(VLOOKUP(B363,{'DATA DE CONTROLES Y LLAVES'!I$6:I1000,'DATA DE CONTROLES Y LLAVES'!F$6:F1000},2,FALSE),"")</f>
        <v/>
      </c>
      <c r="D363" s="185" t="str">
        <f t="array" ref="D363">IFNA(VLOOKUP(B363,{'DATA DE CONTROLES Y LLAVES'!I$6:I1000,'DATA DE CONTROLES Y LLAVES'!G$6:G1000},2,FALSE),"")</f>
        <v/>
      </c>
      <c r="E363" s="13" t="s">
        <v>22</v>
      </c>
      <c r="F363" s="176"/>
      <c r="G363" s="176"/>
    </row>
    <row r="364">
      <c r="B364" s="192" t="str">
        <f t="shared" si="2"/>
        <v>106B</v>
      </c>
      <c r="C364" s="185" t="str">
        <f t="array" ref="C364">IFNA(VLOOKUP(B364,{'DATA DE CONTROLES Y LLAVES'!I$6:I1000,'DATA DE CONTROLES Y LLAVES'!F$6:F1000},2,FALSE),"")</f>
        <v/>
      </c>
      <c r="D364" s="185" t="str">
        <f t="array" ref="D364">IFNA(VLOOKUP(B364,{'DATA DE CONTROLES Y LLAVES'!I$6:I1000,'DATA DE CONTROLES Y LLAVES'!G$6:G1000},2,FALSE),"")</f>
        <v/>
      </c>
      <c r="E364" s="13" t="s">
        <v>22</v>
      </c>
      <c r="F364" s="176"/>
      <c r="G364" s="176"/>
    </row>
    <row r="365">
      <c r="B365" s="192" t="str">
        <f t="shared" si="2"/>
        <v>107B</v>
      </c>
      <c r="C365" s="185" t="str">
        <f t="array" ref="C365">IFNA(VLOOKUP(B365,{'DATA DE CONTROLES Y LLAVES'!I$6:I1000,'DATA DE CONTROLES Y LLAVES'!F$6:F1000},2,FALSE),"")</f>
        <v>GLENDA </v>
      </c>
      <c r="D365" s="185" t="str">
        <f t="array" ref="D365">IFNA(VLOOKUP(B365,{'DATA DE CONTROLES Y LLAVES'!I$6:I1000,'DATA DE CONTROLES Y LLAVES'!G$6:G1000},2,FALSE),"")</f>
        <v>REVERAND</v>
      </c>
      <c r="E365" s="13" t="s">
        <v>22</v>
      </c>
      <c r="F365" s="176"/>
      <c r="G365" s="176"/>
    </row>
    <row r="366">
      <c r="B366" s="192" t="str">
        <f t="shared" si="2"/>
        <v>108B</v>
      </c>
      <c r="C366" s="185" t="str">
        <f t="array" ref="C366">IFNA(VLOOKUP(B366,{'DATA DE CONTROLES Y LLAVES'!I$6:I1000,'DATA DE CONTROLES Y LLAVES'!F$6:F1000},2,FALSE),"")</f>
        <v/>
      </c>
      <c r="D366" s="185" t="str">
        <f t="array" ref="D366">IFNA(VLOOKUP(B366,{'DATA DE CONTROLES Y LLAVES'!I$6:I1000,'DATA DE CONTROLES Y LLAVES'!G$6:G1000},2,FALSE),"")</f>
        <v/>
      </c>
      <c r="E366" s="13" t="s">
        <v>22</v>
      </c>
      <c r="F366" s="176"/>
      <c r="G366" s="176"/>
    </row>
    <row r="367">
      <c r="B367" s="192" t="str">
        <f t="shared" si="2"/>
        <v>109B</v>
      </c>
      <c r="C367" s="185" t="str">
        <f t="array" ref="C367">IFNA(VLOOKUP(B367,{'DATA DE CONTROLES Y LLAVES'!I$6:I1000,'DATA DE CONTROLES Y LLAVES'!F$6:F1000},2,FALSE),"")</f>
        <v>JOSE</v>
      </c>
      <c r="D367" s="185" t="str">
        <f t="array" ref="D367">IFNA(VLOOKUP(B367,{'DATA DE CONTROLES Y LLAVES'!I$6:I1000,'DATA DE CONTROLES Y LLAVES'!G$6:G1000},2,FALSE),"")</f>
        <v>ROJO</v>
      </c>
      <c r="E367" s="13" t="s">
        <v>22</v>
      </c>
      <c r="F367" s="176"/>
      <c r="G367" s="176"/>
    </row>
    <row r="368">
      <c r="B368" s="192" t="str">
        <f t="shared" si="2"/>
        <v>110B</v>
      </c>
      <c r="C368" s="185" t="str">
        <f t="array" ref="C368">IFNA(VLOOKUP(B368,{'DATA DE CONTROLES Y LLAVES'!I$6:I1000,'DATA DE CONTROLES Y LLAVES'!F$6:F1000},2,FALSE),"")</f>
        <v/>
      </c>
      <c r="D368" s="185" t="str">
        <f t="array" ref="D368">IFNA(VLOOKUP(B368,{'DATA DE CONTROLES Y LLAVES'!I$6:I1000,'DATA DE CONTROLES Y LLAVES'!G$6:G1000},2,FALSE),"")</f>
        <v/>
      </c>
      <c r="E368" s="13" t="s">
        <v>22</v>
      </c>
      <c r="F368" s="176"/>
      <c r="G368" s="176"/>
    </row>
    <row r="369">
      <c r="B369" s="192" t="str">
        <f t="shared" si="2"/>
        <v>111B</v>
      </c>
      <c r="C369" s="185" t="str">
        <f t="array" ref="C369">IFNA(VLOOKUP(B369,{'DATA DE CONTROLES Y LLAVES'!I$6:I1000,'DATA DE CONTROLES Y LLAVES'!F$6:F1000},2,FALSE),"")</f>
        <v>BRAYAN</v>
      </c>
      <c r="D369" s="185" t="str">
        <f t="array" ref="D369">IFNA(VLOOKUP(B369,{'DATA DE CONTROLES Y LLAVES'!I$6:I1000,'DATA DE CONTROLES Y LLAVES'!G$6:G1000},2,FALSE),"")</f>
        <v>PINO</v>
      </c>
      <c r="E369" s="13" t="s">
        <v>22</v>
      </c>
      <c r="F369" s="176"/>
      <c r="G369" s="176"/>
    </row>
    <row r="370">
      <c r="B370" s="192" t="str">
        <f t="shared" si="2"/>
        <v>112B</v>
      </c>
      <c r="C370" s="185" t="str">
        <f t="array" ref="C370">IFNA(VLOOKUP(B370,{'DATA DE CONTROLES Y LLAVES'!I$6:I1000,'DATA DE CONTROLES Y LLAVES'!F$6:F1000},2,FALSE),"")</f>
        <v>RICHARD </v>
      </c>
      <c r="D370" s="185" t="str">
        <f t="array" ref="D370">IFNA(VLOOKUP(B370,{'DATA DE CONTROLES Y LLAVES'!I$6:I1000,'DATA DE CONTROLES Y LLAVES'!G$6:G1000},2,FALSE),"")</f>
        <v>FLORES </v>
      </c>
      <c r="E370" s="13" t="s">
        <v>22</v>
      </c>
      <c r="F370" s="176"/>
      <c r="G370" s="176"/>
    </row>
    <row r="371">
      <c r="B371" s="192" t="str">
        <f t="shared" si="2"/>
        <v>113B</v>
      </c>
      <c r="C371" s="185" t="str">
        <f t="array" ref="C371">IFNA(VLOOKUP(B371,{'DATA DE CONTROLES Y LLAVES'!I$6:I1000,'DATA DE CONTROLES Y LLAVES'!F$6:F1000},2,FALSE),"")</f>
        <v>MARIALIS</v>
      </c>
      <c r="D371" s="185" t="str">
        <f t="array" ref="D371">IFNA(VLOOKUP(B371,{'DATA DE CONTROLES Y LLAVES'!I$6:I1000,'DATA DE CONTROLES Y LLAVES'!G$6:G1000},2,FALSE),"")</f>
        <v>SMAIN</v>
      </c>
      <c r="E371" s="13" t="s">
        <v>47</v>
      </c>
      <c r="F371" s="176"/>
      <c r="G371" s="176"/>
    </row>
    <row r="372">
      <c r="B372" s="192" t="str">
        <f t="shared" si="2"/>
        <v>114B</v>
      </c>
      <c r="C372" s="185" t="str">
        <f t="array" ref="C372">IFNA(VLOOKUP(B372,{'DATA DE CONTROLES Y LLAVES'!I$6:I1000,'DATA DE CONTROLES Y LLAVES'!F$6:F1000},2,FALSE),"")</f>
        <v>ELSA</v>
      </c>
      <c r="D372" s="185" t="str">
        <f t="array" ref="D372">IFNA(VLOOKUP(B372,{'DATA DE CONTROLES Y LLAVES'!I$6:I1000,'DATA DE CONTROLES Y LLAVES'!G$6:G1000},2,FALSE),"")</f>
        <v>MARTINEZ</v>
      </c>
      <c r="E372" s="13" t="s">
        <v>22</v>
      </c>
      <c r="F372" s="176"/>
      <c r="G372" s="176"/>
    </row>
    <row r="373">
      <c r="B373" s="192" t="str">
        <f t="shared" si="2"/>
        <v>115B</v>
      </c>
      <c r="C373" s="185" t="str">
        <f t="array" ref="C373">IFNA(VLOOKUP(B373,{'DATA DE CONTROLES Y LLAVES'!I$6:I1000,'DATA DE CONTROLES Y LLAVES'!F$6:F1000},2,FALSE),"")</f>
        <v>JUANA (DE)</v>
      </c>
      <c r="D373" s="185" t="str">
        <f t="array" ref="D373">IFNA(VLOOKUP(B373,{'DATA DE CONTROLES Y LLAVES'!I$6:I1000,'DATA DE CONTROLES Y LLAVES'!G$6:G1000},2,FALSE),"")</f>
        <v>PIÑATE</v>
      </c>
      <c r="E373" s="13" t="s">
        <v>22</v>
      </c>
      <c r="F373" s="176"/>
      <c r="G373" s="176"/>
    </row>
    <row r="374">
      <c r="B374" s="192" t="str">
        <f t="shared" si="2"/>
        <v>116B</v>
      </c>
      <c r="C374" s="185" t="str">
        <f t="array" ref="C374">IFNA(VLOOKUP(B374,{'DATA DE CONTROLES Y LLAVES'!I$6:I1000,'DATA DE CONTROLES Y LLAVES'!F$6:F1000},2,FALSE),"")</f>
        <v/>
      </c>
      <c r="D374" s="185" t="str">
        <f t="array" ref="D374">IFNA(VLOOKUP(B374,{'DATA DE CONTROLES Y LLAVES'!I$6:I1000,'DATA DE CONTROLES Y LLAVES'!G$6:G1000},2,FALSE),"")</f>
        <v/>
      </c>
      <c r="E374" s="13" t="s">
        <v>22</v>
      </c>
      <c r="F374" s="176"/>
      <c r="G374" s="176"/>
    </row>
    <row r="375">
      <c r="B375" s="192" t="str">
        <f t="shared" si="2"/>
        <v>117B</v>
      </c>
      <c r="C375" s="185" t="str">
        <f t="array" ref="C375">IFNA(VLOOKUP(B375,{'DATA DE CONTROLES Y LLAVES'!I$6:I1000,'DATA DE CONTROLES Y LLAVES'!F$6:F1000},2,FALSE),"")</f>
        <v>OMAR</v>
      </c>
      <c r="D375" s="185" t="str">
        <f t="array" ref="D375">IFNA(VLOOKUP(B375,{'DATA DE CONTROLES Y LLAVES'!I$6:I1000,'DATA DE CONTROLES Y LLAVES'!G$6:G1000},2,FALSE),"")</f>
        <v>GARCÍA</v>
      </c>
      <c r="E375" s="13" t="s">
        <v>22</v>
      </c>
      <c r="F375" s="176"/>
      <c r="G375" s="176"/>
    </row>
    <row r="376">
      <c r="B376" s="192" t="str">
        <f t="shared" si="2"/>
        <v>118B</v>
      </c>
      <c r="C376" s="185" t="str">
        <f t="array" ref="C376">IFNA(VLOOKUP(B376,{'DATA DE CONTROLES Y LLAVES'!I$6:I1000,'DATA DE CONTROLES Y LLAVES'!F$6:F1000},2,FALSE),"")</f>
        <v>ADRIAN </v>
      </c>
      <c r="D376" s="185" t="str">
        <f t="array" ref="D376">IFNA(VLOOKUP(B376,{'DATA DE CONTROLES Y LLAVES'!I$6:I1000,'DATA DE CONTROLES Y LLAVES'!G$6:G1000},2,FALSE),"")</f>
        <v>PAMELÁ</v>
      </c>
      <c r="E376" s="13" t="s">
        <v>47</v>
      </c>
      <c r="F376" s="176"/>
      <c r="G376" s="176"/>
    </row>
    <row r="377">
      <c r="B377" s="192" t="str">
        <f t="shared" si="2"/>
        <v>119B</v>
      </c>
      <c r="C377" s="185" t="str">
        <f t="array" ref="C377">IFNA(VLOOKUP(B377,{'DATA DE CONTROLES Y LLAVES'!I$6:I1000,'DATA DE CONTROLES Y LLAVES'!F$6:F1000},2,FALSE),"")</f>
        <v/>
      </c>
      <c r="D377" s="185" t="str">
        <f t="array" ref="D377">IFNA(VLOOKUP(B377,{'DATA DE CONTROLES Y LLAVES'!I$6:I1000,'DATA DE CONTROLES Y LLAVES'!G$6:G1000},2,FALSE),"")</f>
        <v/>
      </c>
      <c r="E377" s="13" t="s">
        <v>22</v>
      </c>
      <c r="F377" s="176"/>
      <c r="G377" s="176"/>
    </row>
    <row r="378">
      <c r="B378" s="192" t="str">
        <f t="shared" si="2"/>
        <v>120B</v>
      </c>
      <c r="C378" s="185" t="str">
        <f t="array" ref="C378">IFNA(VLOOKUP(B378,{'DATA DE CONTROLES Y LLAVES'!I$6:I1000,'DATA DE CONTROLES Y LLAVES'!F$6:F1000},2,FALSE),"")</f>
        <v>GLORIA</v>
      </c>
      <c r="D378" s="185" t="str">
        <f t="array" ref="D378">IFNA(VLOOKUP(B378,{'DATA DE CONTROLES Y LLAVES'!I$6:I1000,'DATA DE CONTROLES Y LLAVES'!G$6:G1000},2,FALSE),"")</f>
        <v>DELGADO</v>
      </c>
      <c r="E378" s="13" t="s">
        <v>22</v>
      </c>
      <c r="F378" s="176"/>
      <c r="G378" s="176"/>
    </row>
    <row r="379">
      <c r="B379" s="192" t="str">
        <f t="shared" si="2"/>
        <v>121B</v>
      </c>
      <c r="C379" s="185" t="str">
        <f t="array" ref="C379">IFNA(VLOOKUP(B379,{'DATA DE CONTROLES Y LLAVES'!I$6:I1000,'DATA DE CONTROLES Y LLAVES'!F$6:F1000},2,FALSE),"")</f>
        <v>ENDER</v>
      </c>
      <c r="D379" s="185" t="str">
        <f t="array" ref="D379">IFNA(VLOOKUP(B379,{'DATA DE CONTROLES Y LLAVES'!I$6:I1000,'DATA DE CONTROLES Y LLAVES'!G$6:G1000},2,FALSE),"")</f>
        <v>GONZALEZ</v>
      </c>
      <c r="E379" s="13" t="s">
        <v>22</v>
      </c>
      <c r="F379" s="176"/>
      <c r="G379" s="176"/>
    </row>
    <row r="380">
      <c r="B380" s="192" t="str">
        <f t="shared" si="2"/>
        <v>122B</v>
      </c>
      <c r="C380" s="185" t="str">
        <f t="array" ref="C380">IFNA(VLOOKUP(B380,{'DATA DE CONTROLES Y LLAVES'!I$6:I1000,'DATA DE CONTROLES Y LLAVES'!F$6:F1000},2,FALSE),"")</f>
        <v>JUAN</v>
      </c>
      <c r="D380" s="185" t="str">
        <f t="array" ref="D380">IFNA(VLOOKUP(B380,{'DATA DE CONTROLES Y LLAVES'!I$6:I1000,'DATA DE CONTROLES Y LLAVES'!G$6:G1000},2,FALSE),"")</f>
        <v>LOZADA</v>
      </c>
      <c r="E380" s="13" t="s">
        <v>47</v>
      </c>
      <c r="F380" s="176"/>
      <c r="G380" s="176"/>
    </row>
    <row r="381">
      <c r="B381" s="192" t="str">
        <f t="shared" si="2"/>
        <v>123B</v>
      </c>
      <c r="C381" s="185" t="str">
        <f t="array" ref="C381">IFNA(VLOOKUP(B381,{'DATA DE CONTROLES Y LLAVES'!I$6:I1000,'DATA DE CONTROLES Y LLAVES'!F$6:F1000},2,FALSE),"")</f>
        <v>JAVIER</v>
      </c>
      <c r="D381" s="185" t="str">
        <f t="array" ref="D381">IFNA(VLOOKUP(B381,{'DATA DE CONTROLES Y LLAVES'!I$6:I1000,'DATA DE CONTROLES Y LLAVES'!G$6:G1000},2,FALSE),"")</f>
        <v>URDANETA</v>
      </c>
      <c r="E381" s="13" t="s">
        <v>22</v>
      </c>
      <c r="F381" s="176"/>
      <c r="G381" s="176"/>
    </row>
    <row r="382">
      <c r="B382" s="192" t="str">
        <f t="shared" si="2"/>
        <v>124B</v>
      </c>
      <c r="C382" s="185" t="str">
        <f t="array" ref="C382">IFNA(VLOOKUP(B382,{'DATA DE CONTROLES Y LLAVES'!I$6:I1000,'DATA DE CONTROLES Y LLAVES'!F$6:F1000},2,FALSE),"")</f>
        <v>FELICIA</v>
      </c>
      <c r="D382" s="185" t="str">
        <f t="array" ref="D382">IFNA(VLOOKUP(B382,{'DATA DE CONTROLES Y LLAVES'!I$6:I1000,'DATA DE CONTROLES Y LLAVES'!G$6:G1000},2,FALSE),"")</f>
        <v>LUGO</v>
      </c>
      <c r="E382" s="13" t="s">
        <v>22</v>
      </c>
      <c r="F382" s="176"/>
      <c r="G382" s="176"/>
    </row>
    <row r="383">
      <c r="B383" s="192" t="str">
        <f t="shared" si="2"/>
        <v>125B</v>
      </c>
      <c r="C383" s="185" t="str">
        <f t="array" ref="C383">IFNA(VLOOKUP(B383,{'DATA DE CONTROLES Y LLAVES'!I$6:I1000,'DATA DE CONTROLES Y LLAVES'!F$6:F1000},2,FALSE),"")</f>
        <v>KIMBERLY</v>
      </c>
      <c r="D383" s="185" t="str">
        <f t="array" ref="D383">IFNA(VLOOKUP(B383,{'DATA DE CONTROLES Y LLAVES'!I$6:I1000,'DATA DE CONTROLES Y LLAVES'!G$6:G1000},2,FALSE),"")</f>
        <v>PAMELÁ</v>
      </c>
      <c r="E383" s="13" t="s">
        <v>22</v>
      </c>
      <c r="F383" s="176"/>
      <c r="G383" s="176"/>
    </row>
    <row r="384">
      <c r="B384" s="192" t="str">
        <f t="shared" si="2"/>
        <v>126B</v>
      </c>
      <c r="C384" s="185" t="str">
        <f t="array" ref="C384">IFNA(VLOOKUP(B384,{'DATA DE CONTROLES Y LLAVES'!I$6:I1000,'DATA DE CONTROLES Y LLAVES'!F$6:F1000},2,FALSE),"")</f>
        <v>YORBIS</v>
      </c>
      <c r="D384" s="185" t="str">
        <f t="array" ref="D384">IFNA(VLOOKUP(B384,{'DATA DE CONTROLES Y LLAVES'!I$6:I1000,'DATA DE CONTROLES Y LLAVES'!G$6:G1000},2,FALSE),"")</f>
        <v>PAMELÁ</v>
      </c>
      <c r="E384" s="13" t="s">
        <v>47</v>
      </c>
      <c r="F384" s="176"/>
      <c r="G384" s="176"/>
    </row>
    <row r="385">
      <c r="B385" s="192" t="str">
        <f t="shared" si="2"/>
        <v>127B</v>
      </c>
      <c r="C385" s="185" t="str">
        <f t="array" ref="C385">IFNA(VLOOKUP(B385,{'DATA DE CONTROLES Y LLAVES'!I$6:I1000,'DATA DE CONTROLES Y LLAVES'!F$6:F1000},2,FALSE),"")</f>
        <v/>
      </c>
      <c r="D385" s="185" t="str">
        <f t="array" ref="D385">IFNA(VLOOKUP(B385,{'DATA DE CONTROLES Y LLAVES'!I$6:I1000,'DATA DE CONTROLES Y LLAVES'!G$6:G1000},2,FALSE),"")</f>
        <v/>
      </c>
      <c r="E385" s="13" t="s">
        <v>22</v>
      </c>
      <c r="F385" s="176"/>
      <c r="G385" s="176"/>
    </row>
    <row r="386">
      <c r="B386" s="192" t="str">
        <f t="shared" si="2"/>
        <v>128B</v>
      </c>
      <c r="C386" s="185" t="str">
        <f t="array" ref="C386">IFNA(VLOOKUP(B386,{'DATA DE CONTROLES Y LLAVES'!I$6:I1000,'DATA DE CONTROLES Y LLAVES'!F$6:F1000},2,FALSE),"")</f>
        <v>CÉSAR</v>
      </c>
      <c r="D386" s="185" t="str">
        <f t="array" ref="D386">IFNA(VLOOKUP(B386,{'DATA DE CONTROLES Y LLAVES'!I$6:I1000,'DATA DE CONTROLES Y LLAVES'!G$6:G1000},2,FALSE),"")</f>
        <v>GONZÁLEZ</v>
      </c>
      <c r="E386" s="13" t="s">
        <v>22</v>
      </c>
      <c r="F386" s="176"/>
      <c r="G386" s="176"/>
    </row>
    <row r="387">
      <c r="B387" s="192" t="str">
        <f t="shared" si="2"/>
        <v>129B</v>
      </c>
      <c r="C387" s="185" t="str">
        <f t="array" ref="C387">IFNA(VLOOKUP(B387,{'DATA DE CONTROLES Y LLAVES'!I$6:I1000,'DATA DE CONTROLES Y LLAVES'!F$6:F1000},2,FALSE),"")</f>
        <v/>
      </c>
      <c r="D387" s="185" t="str">
        <f t="array" ref="D387">IFNA(VLOOKUP(B387,{'DATA DE CONTROLES Y LLAVES'!I$6:I1000,'DATA DE CONTROLES Y LLAVES'!G$6:G1000},2,FALSE),"")</f>
        <v/>
      </c>
      <c r="E387" s="13" t="s">
        <v>22</v>
      </c>
      <c r="F387" s="176"/>
      <c r="G387" s="176"/>
    </row>
    <row r="388">
      <c r="B388" s="192" t="str">
        <f t="shared" si="2"/>
        <v>130B</v>
      </c>
      <c r="C388" s="185" t="str">
        <f t="array" ref="C388">IFNA(VLOOKUP(B388,{'DATA DE CONTROLES Y LLAVES'!I$6:I1000,'DATA DE CONTROLES Y LLAVES'!F$6:F1000},2,FALSE),"")</f>
        <v>WILFREDO</v>
      </c>
      <c r="D388" s="185" t="str">
        <f t="array" ref="D388">IFNA(VLOOKUP(B388,{'DATA DE CONTROLES Y LLAVES'!I$6:I1000,'DATA DE CONTROLES Y LLAVES'!G$6:G1000},2,FALSE),"")</f>
        <v>GAMBOA</v>
      </c>
      <c r="E388" s="13" t="s">
        <v>22</v>
      </c>
      <c r="F388" s="176"/>
      <c r="G388" s="176"/>
    </row>
    <row r="389">
      <c r="B389" s="192" t="str">
        <f t="shared" si="2"/>
        <v>131B</v>
      </c>
      <c r="C389" s="185" t="str">
        <f t="array" ref="C389">IFNA(VLOOKUP(B389,{'DATA DE CONTROLES Y LLAVES'!I$6:I1000,'DATA DE CONTROLES Y LLAVES'!F$6:F1000},2,FALSE),"")</f>
        <v/>
      </c>
      <c r="D389" s="185" t="str">
        <f t="array" ref="D389">IFNA(VLOOKUP(B389,{'DATA DE CONTROLES Y LLAVES'!I$6:I1000,'DATA DE CONTROLES Y LLAVES'!G$6:G1000},2,FALSE),"")</f>
        <v/>
      </c>
      <c r="E389" s="13" t="s">
        <v>47</v>
      </c>
      <c r="F389" s="176"/>
      <c r="G389" s="176"/>
    </row>
    <row r="390">
      <c r="B390" s="192" t="str">
        <f t="shared" si="2"/>
        <v>132B</v>
      </c>
      <c r="C390" s="185" t="str">
        <f t="array" ref="C390">IFNA(VLOOKUP(B390,{'DATA DE CONTROLES Y LLAVES'!I$6:I1000,'DATA DE CONTROLES Y LLAVES'!F$6:F1000},2,FALSE),"")</f>
        <v/>
      </c>
      <c r="D390" s="185" t="str">
        <f t="array" ref="D390">IFNA(VLOOKUP(B390,{'DATA DE CONTROLES Y LLAVES'!I$6:I1000,'DATA DE CONTROLES Y LLAVES'!G$6:G1000},2,FALSE),"")</f>
        <v/>
      </c>
      <c r="E390" s="13" t="s">
        <v>22</v>
      </c>
      <c r="F390" s="176"/>
      <c r="G390" s="176"/>
    </row>
    <row r="391">
      <c r="B391" s="192" t="str">
        <f t="shared" si="2"/>
        <v>133B</v>
      </c>
      <c r="C391" s="185" t="str">
        <f t="array" ref="C391">IFNA(VLOOKUP(B391,{'DATA DE CONTROLES Y LLAVES'!I$6:I1000,'DATA DE CONTROLES Y LLAVES'!F$6:F1000},2,FALSE),"")</f>
        <v/>
      </c>
      <c r="D391" s="185" t="str">
        <f t="array" ref="D391">IFNA(VLOOKUP(B391,{'DATA DE CONTROLES Y LLAVES'!I$6:I1000,'DATA DE CONTROLES Y LLAVES'!G$6:G1000},2,FALSE),"")</f>
        <v/>
      </c>
      <c r="E391" s="13" t="s">
        <v>22</v>
      </c>
      <c r="F391" s="176"/>
      <c r="G391" s="176"/>
    </row>
    <row r="392">
      <c r="B392" s="192" t="str">
        <f t="shared" si="2"/>
        <v>134B</v>
      </c>
      <c r="C392" s="185" t="str">
        <f t="array" ref="C392">IFNA(VLOOKUP(B392,{'DATA DE CONTROLES Y LLAVES'!I$6:I1000,'DATA DE CONTROLES Y LLAVES'!F$6:F1000},2,FALSE),"")</f>
        <v/>
      </c>
      <c r="D392" s="185" t="str">
        <f t="array" ref="D392">IFNA(VLOOKUP(B392,{'DATA DE CONTROLES Y LLAVES'!I$6:I1000,'DATA DE CONTROLES Y LLAVES'!G$6:G1000},2,FALSE),"")</f>
        <v/>
      </c>
      <c r="E392" s="13" t="s">
        <v>22</v>
      </c>
      <c r="F392" s="176"/>
      <c r="G392" s="176"/>
    </row>
    <row r="393">
      <c r="B393" s="192" t="str">
        <f t="shared" si="2"/>
        <v>135B</v>
      </c>
      <c r="C393" s="185" t="str">
        <f t="array" ref="C393">IFNA(VLOOKUP(B393,{'DATA DE CONTROLES Y LLAVES'!I$6:I1000,'DATA DE CONTROLES Y LLAVES'!F$6:F1000},2,FALSE),"")</f>
        <v/>
      </c>
      <c r="D393" s="185" t="str">
        <f t="array" ref="D393">IFNA(VLOOKUP(B393,{'DATA DE CONTROLES Y LLAVES'!I$6:I1000,'DATA DE CONTROLES Y LLAVES'!G$6:G1000},2,FALSE),"")</f>
        <v/>
      </c>
      <c r="E393" s="13" t="s">
        <v>22</v>
      </c>
      <c r="F393" s="176"/>
      <c r="G393" s="176"/>
    </row>
    <row r="394">
      <c r="B394" s="192" t="str">
        <f t="shared" si="2"/>
        <v>136B</v>
      </c>
      <c r="C394" s="185" t="str">
        <f t="array" ref="C394">IFNA(VLOOKUP(B394,{'DATA DE CONTROLES Y LLAVES'!I$6:I1000,'DATA DE CONTROLES Y LLAVES'!F$6:F1000},2,FALSE),"")</f>
        <v/>
      </c>
      <c r="D394" s="185" t="str">
        <f t="array" ref="D394">IFNA(VLOOKUP(B394,{'DATA DE CONTROLES Y LLAVES'!I$6:I1000,'DATA DE CONTROLES Y LLAVES'!G$6:G1000},2,FALSE),"")</f>
        <v/>
      </c>
      <c r="E394" s="13" t="s">
        <v>22</v>
      </c>
      <c r="F394" s="176"/>
      <c r="G394" s="176"/>
    </row>
    <row r="395">
      <c r="B395" s="192" t="str">
        <f t="shared" si="2"/>
        <v>137B</v>
      </c>
      <c r="C395" s="185" t="str">
        <f t="array" ref="C395">IFNA(VLOOKUP(B395,{'DATA DE CONTROLES Y LLAVES'!I$6:I1000,'DATA DE CONTROLES Y LLAVES'!F$6:F1000},2,FALSE),"")</f>
        <v/>
      </c>
      <c r="D395" s="185" t="str">
        <f t="array" ref="D395">IFNA(VLOOKUP(B395,{'DATA DE CONTROLES Y LLAVES'!I$6:I1000,'DATA DE CONTROLES Y LLAVES'!G$6:G1000},2,FALSE),"")</f>
        <v/>
      </c>
      <c r="E395" s="13" t="s">
        <v>22</v>
      </c>
      <c r="F395" s="176"/>
      <c r="G395" s="176"/>
    </row>
    <row r="396">
      <c r="B396" s="192" t="str">
        <f t="shared" si="2"/>
        <v>138B</v>
      </c>
      <c r="C396" s="185" t="str">
        <f t="array" ref="C396">IFNA(VLOOKUP(B396,{'DATA DE CONTROLES Y LLAVES'!I$6:I1000,'DATA DE CONTROLES Y LLAVES'!F$6:F1000},2,FALSE),"")</f>
        <v>NERITA</v>
      </c>
      <c r="D396" s="185" t="str">
        <f t="array" ref="D396">IFNA(VLOOKUP(B396,{'DATA DE CONTROLES Y LLAVES'!I$6:I1000,'DATA DE CONTROLES Y LLAVES'!G$6:G1000},2,FALSE),"")</f>
        <v>GUILLEN</v>
      </c>
      <c r="E396" s="13" t="s">
        <v>22</v>
      </c>
      <c r="F396" s="176"/>
      <c r="G396" s="176"/>
    </row>
    <row r="397">
      <c r="B397" s="192" t="str">
        <f t="shared" si="2"/>
        <v>139B</v>
      </c>
      <c r="C397" s="185" t="str">
        <f t="array" ref="C397">IFNA(VLOOKUP(B397,{'DATA DE CONTROLES Y LLAVES'!I$6:I1000,'DATA DE CONTROLES Y LLAVES'!F$6:F1000},2,FALSE),"")</f>
        <v>ÁNGEL</v>
      </c>
      <c r="D397" s="185" t="str">
        <f t="array" ref="D397">IFNA(VLOOKUP(B397,{'DATA DE CONTROLES Y LLAVES'!I$6:I1000,'DATA DE CONTROLES Y LLAVES'!G$6:G1000},2,FALSE),"")</f>
        <v>RICO</v>
      </c>
      <c r="E397" s="13" t="s">
        <v>22</v>
      </c>
      <c r="F397" s="176"/>
      <c r="G397" s="176"/>
    </row>
    <row r="398">
      <c r="B398" s="192" t="str">
        <f t="shared" si="2"/>
        <v>140B</v>
      </c>
      <c r="C398" s="185" t="str">
        <f t="array" ref="C398">IFNA(VLOOKUP(B398,{'DATA DE CONTROLES Y LLAVES'!I$6:I1000,'DATA DE CONTROLES Y LLAVES'!F$6:F1000},2,FALSE),"")</f>
        <v>LISETTE</v>
      </c>
      <c r="D398" s="185" t="str">
        <f t="array" ref="D398">IFNA(VLOOKUP(B398,{'DATA DE CONTROLES Y LLAVES'!I$6:I1000,'DATA DE CONTROLES Y LLAVES'!G$6:G1000},2,FALSE),"")</f>
        <v>IBARRA</v>
      </c>
      <c r="E398" s="13" t="s">
        <v>22</v>
      </c>
      <c r="F398" s="176"/>
      <c r="G398" s="176"/>
    </row>
    <row r="399">
      <c r="B399" s="192" t="str">
        <f t="shared" si="2"/>
        <v>141B</v>
      </c>
      <c r="C399" s="185" t="str">
        <f t="array" ref="C399">IFNA(VLOOKUP(B399,{'DATA DE CONTROLES Y LLAVES'!I$6:I1000,'DATA DE CONTROLES Y LLAVES'!F$6:F1000},2,FALSE),"")</f>
        <v/>
      </c>
      <c r="D399" s="185" t="str">
        <f t="array" ref="D399">IFNA(VLOOKUP(B399,{'DATA DE CONTROLES Y LLAVES'!I$6:I1000,'DATA DE CONTROLES Y LLAVES'!G$6:G1000},2,FALSE),"")</f>
        <v/>
      </c>
      <c r="E399" s="13" t="s">
        <v>22</v>
      </c>
      <c r="F399" s="176"/>
      <c r="G399" s="176"/>
    </row>
    <row r="400">
      <c r="B400" s="192" t="str">
        <f t="shared" si="2"/>
        <v>142B</v>
      </c>
      <c r="C400" s="185" t="str">
        <f t="array" ref="C400">IFNA(VLOOKUP(B400,{'DATA DE CONTROLES Y LLAVES'!I$6:I1000,'DATA DE CONTROLES Y LLAVES'!F$6:F1000},2,FALSE),"")</f>
        <v>CARLOS </v>
      </c>
      <c r="D400" s="185" t="str">
        <f t="array" ref="D400">IFNA(VLOOKUP(B400,{'DATA DE CONTROLES Y LLAVES'!I$6:I1000,'DATA DE CONTROLES Y LLAVES'!G$6:G1000},2,FALSE),"")</f>
        <v>ALVARADO</v>
      </c>
      <c r="E400" s="13" t="s">
        <v>22</v>
      </c>
      <c r="F400" s="176"/>
      <c r="G400" s="176"/>
    </row>
    <row r="401">
      <c r="B401" s="192" t="str">
        <f t="shared" si="2"/>
        <v>143B</v>
      </c>
      <c r="C401" s="185" t="str">
        <f t="array" ref="C401">IFNA(VLOOKUP(B401,{'DATA DE CONTROLES Y LLAVES'!I$6:I1000,'DATA DE CONTROLES Y LLAVES'!F$6:F1000},2,FALSE),"")</f>
        <v>NORBERTO</v>
      </c>
      <c r="D401" s="185" t="str">
        <f t="array" ref="D401">IFNA(VLOOKUP(B401,{'DATA DE CONTROLES Y LLAVES'!I$6:I1000,'DATA DE CONTROLES Y LLAVES'!G$6:G1000},2,FALSE),"")</f>
        <v>CORONADO</v>
      </c>
      <c r="E401" s="13" t="s">
        <v>22</v>
      </c>
      <c r="F401" s="176"/>
      <c r="G401" s="176"/>
    </row>
    <row r="402">
      <c r="B402" s="192" t="str">
        <f t="shared" si="2"/>
        <v>144B</v>
      </c>
      <c r="C402" s="185" t="str">
        <f t="array" ref="C402">IFNA(VLOOKUP(B402,{'DATA DE CONTROLES Y LLAVES'!I$6:I1000,'DATA DE CONTROLES Y LLAVES'!F$6:F1000},2,FALSE),"")</f>
        <v/>
      </c>
      <c r="D402" s="185" t="str">
        <f t="array" ref="D402">IFNA(VLOOKUP(B402,{'DATA DE CONTROLES Y LLAVES'!I$6:I1000,'DATA DE CONTROLES Y LLAVES'!G$6:G1000},2,FALSE),"")</f>
        <v/>
      </c>
      <c r="E402" s="13" t="s">
        <v>22</v>
      </c>
      <c r="F402" s="176"/>
      <c r="G402" s="176"/>
    </row>
    <row r="403">
      <c r="B403" s="192" t="str">
        <f t="shared" si="2"/>
        <v>145B</v>
      </c>
      <c r="C403" s="185" t="str">
        <f t="array" ref="C403">IFNA(VLOOKUP(B403,{'DATA DE CONTROLES Y LLAVES'!I$6:I1000,'DATA DE CONTROLES Y LLAVES'!F$6:F1000},2,FALSE),"")</f>
        <v/>
      </c>
      <c r="D403" s="185" t="str">
        <f t="array" ref="D403">IFNA(VLOOKUP(B403,{'DATA DE CONTROLES Y LLAVES'!I$6:I1000,'DATA DE CONTROLES Y LLAVES'!G$6:G1000},2,FALSE),"")</f>
        <v/>
      </c>
      <c r="E403" s="13" t="s">
        <v>22</v>
      </c>
      <c r="F403" s="176"/>
      <c r="G403" s="176"/>
    </row>
    <row r="404">
      <c r="B404" s="192" t="str">
        <f t="shared" si="2"/>
        <v>146B</v>
      </c>
      <c r="C404" s="185" t="str">
        <f t="array" ref="C404">IFNA(VLOOKUP(B404,{'DATA DE CONTROLES Y LLAVES'!I$6:I1000,'DATA DE CONTROLES Y LLAVES'!F$6:F1000},2,FALSE),"")</f>
        <v>DANIEL</v>
      </c>
      <c r="D404" s="185" t="str">
        <f t="array" ref="D404">IFNA(VLOOKUP(B404,{'DATA DE CONTROLES Y LLAVES'!I$6:I1000,'DATA DE CONTROLES Y LLAVES'!G$6:G1000},2,FALSE),"")</f>
        <v/>
      </c>
      <c r="E404" s="13" t="s">
        <v>22</v>
      </c>
      <c r="F404" s="176"/>
      <c r="G404" s="176"/>
    </row>
    <row r="405">
      <c r="B405" s="192" t="str">
        <f t="shared" si="2"/>
        <v>147B</v>
      </c>
      <c r="C405" s="185" t="str">
        <f t="array" ref="C405">IFNA(VLOOKUP(B405,{'DATA DE CONTROLES Y LLAVES'!I$6:I1000,'DATA DE CONTROLES Y LLAVES'!F$6:F1000},2,FALSE),"")</f>
        <v/>
      </c>
      <c r="D405" s="185" t="str">
        <f t="array" ref="D405">IFNA(VLOOKUP(B405,{'DATA DE CONTROLES Y LLAVES'!I$6:I1000,'DATA DE CONTROLES Y LLAVES'!G$6:G1000},2,FALSE),"")</f>
        <v/>
      </c>
      <c r="E405" s="13" t="s">
        <v>22</v>
      </c>
      <c r="F405" s="176"/>
      <c r="G405" s="176"/>
    </row>
    <row r="406">
      <c r="B406" s="192" t="str">
        <f t="shared" si="2"/>
        <v>148B</v>
      </c>
      <c r="C406" s="185" t="str">
        <f t="array" ref="C406">IFNA(VLOOKUP(B406,{'DATA DE CONTROLES Y LLAVES'!I$6:I1000,'DATA DE CONTROLES Y LLAVES'!F$6:F1000},2,FALSE),"")</f>
        <v/>
      </c>
      <c r="D406" s="185" t="str">
        <f t="array" ref="D406">IFNA(VLOOKUP(B406,{'DATA DE CONTROLES Y LLAVES'!I$6:I1000,'DATA DE CONTROLES Y LLAVES'!G$6:G1000},2,FALSE),"")</f>
        <v/>
      </c>
      <c r="E406" s="13" t="s">
        <v>22</v>
      </c>
      <c r="F406" s="176"/>
      <c r="G406" s="176"/>
    </row>
    <row r="407">
      <c r="B407" s="192" t="str">
        <f t="shared" si="2"/>
        <v>149B</v>
      </c>
      <c r="C407" s="185" t="str">
        <f t="array" ref="C407">IFNA(VLOOKUP(B407,{'DATA DE CONTROLES Y LLAVES'!I$6:I1000,'DATA DE CONTROLES Y LLAVES'!F$6:F1000},2,FALSE),"")</f>
        <v>SASKIA</v>
      </c>
      <c r="D407" s="185" t="str">
        <f t="array" ref="D407">IFNA(VLOOKUP(B407,{'DATA DE CONTROLES Y LLAVES'!I$6:I1000,'DATA DE CONTROLES Y LLAVES'!G$6:G1000},2,FALSE),"")</f>
        <v>PATRUYO</v>
      </c>
      <c r="E407" s="13" t="s">
        <v>22</v>
      </c>
      <c r="F407" s="176"/>
      <c r="G407" s="176"/>
    </row>
    <row r="408">
      <c r="B408" s="192" t="str">
        <f t="shared" si="2"/>
        <v>150B</v>
      </c>
      <c r="C408" s="185" t="str">
        <f t="array" ref="C408">IFNA(VLOOKUP(B408,{'DATA DE CONTROLES Y LLAVES'!I$6:I1000,'DATA DE CONTROLES Y LLAVES'!F$6:F1000},2,FALSE),"")</f>
        <v/>
      </c>
      <c r="D408" s="185" t="str">
        <f t="array" ref="D408">IFNA(VLOOKUP(B408,{'DATA DE CONTROLES Y LLAVES'!I$6:I1000,'DATA DE CONTROLES Y LLAVES'!G$6:G1000},2,FALSE),"")</f>
        <v/>
      </c>
      <c r="E408" s="13" t="s">
        <v>22</v>
      </c>
      <c r="F408" s="176"/>
      <c r="G408" s="176"/>
    </row>
    <row r="409">
      <c r="B409" s="192" t="str">
        <f t="shared" si="2"/>
        <v>151B</v>
      </c>
      <c r="C409" s="185" t="str">
        <f t="array" ref="C409">IFNA(VLOOKUP(B409,{'DATA DE CONTROLES Y LLAVES'!I$6:I1000,'DATA DE CONTROLES Y LLAVES'!F$6:F1000},2,FALSE),"")</f>
        <v>JORGE</v>
      </c>
      <c r="D409" s="185" t="str">
        <f t="array" ref="D409">IFNA(VLOOKUP(B409,{'DATA DE CONTROLES Y LLAVES'!I$6:I1000,'DATA DE CONTROLES Y LLAVES'!G$6:G1000},2,FALSE),"")</f>
        <v>PINO</v>
      </c>
      <c r="E409" s="13" t="s">
        <v>47</v>
      </c>
      <c r="F409" s="176"/>
      <c r="G409" s="176"/>
    </row>
    <row r="410">
      <c r="B410" s="192" t="str">
        <f t="shared" si="2"/>
        <v>152B</v>
      </c>
      <c r="C410" s="185" t="str">
        <f t="array" ref="C410">IFNA(VLOOKUP(B410,{'DATA DE CONTROLES Y LLAVES'!I$6:I1000,'DATA DE CONTROLES Y LLAVES'!F$6:F1000},2,FALSE),"")</f>
        <v>GABRIEL </v>
      </c>
      <c r="D410" s="185" t="str">
        <f t="array" ref="D410">IFNA(VLOOKUP(B410,{'DATA DE CONTROLES Y LLAVES'!I$6:I1000,'DATA DE CONTROLES Y LLAVES'!G$6:G1000},2,FALSE),"")</f>
        <v>CUEVAS</v>
      </c>
      <c r="E410" s="13" t="s">
        <v>260</v>
      </c>
      <c r="F410" s="176"/>
      <c r="G410" s="176"/>
    </row>
    <row r="411">
      <c r="B411" s="192" t="str">
        <f t="shared" si="2"/>
        <v>153B</v>
      </c>
      <c r="C411" s="185" t="str">
        <f t="array" ref="C411">IFNA(VLOOKUP(B411,{'DATA DE CONTROLES Y LLAVES'!I$6:I1000,'DATA DE CONTROLES Y LLAVES'!F$6:F1000},2,FALSE),"")</f>
        <v/>
      </c>
      <c r="D411" s="185" t="str">
        <f t="array" ref="D411">IFNA(VLOOKUP(B411,{'DATA DE CONTROLES Y LLAVES'!I$6:I1000,'DATA DE CONTROLES Y LLAVES'!G$6:G1000},2,FALSE),"")</f>
        <v/>
      </c>
      <c r="E411" s="13" t="s">
        <v>22</v>
      </c>
      <c r="F411" s="176"/>
      <c r="G411" s="176"/>
    </row>
    <row r="412">
      <c r="B412" s="192" t="str">
        <f t="shared" si="2"/>
        <v>154B</v>
      </c>
      <c r="C412" s="185" t="str">
        <f t="array" ref="C412">IFNA(VLOOKUP(B412,{'DATA DE CONTROLES Y LLAVES'!I$6:I1000,'DATA DE CONTROLES Y LLAVES'!F$6:F1000},2,FALSE),"")</f>
        <v>RONMER </v>
      </c>
      <c r="D412" s="185" t="str">
        <f t="array" ref="D412">IFNA(VLOOKUP(B412,{'DATA DE CONTROLES Y LLAVES'!I$6:I1000,'DATA DE CONTROLES Y LLAVES'!G$6:G1000},2,FALSE),"")</f>
        <v>ARTEAGA</v>
      </c>
      <c r="E412" s="13" t="s">
        <v>22</v>
      </c>
      <c r="F412" s="176"/>
      <c r="G412" s="176"/>
    </row>
    <row r="413">
      <c r="B413" s="192" t="str">
        <f t="shared" si="2"/>
        <v>155B</v>
      </c>
      <c r="C413" s="185" t="str">
        <f t="array" ref="C413">IFNA(VLOOKUP(B413,{'DATA DE CONTROLES Y LLAVES'!I$6:I1000,'DATA DE CONTROLES Y LLAVES'!F$6:F1000},2,FALSE),"")</f>
        <v/>
      </c>
      <c r="D413" s="185" t="str">
        <f t="array" ref="D413">IFNA(VLOOKUP(B413,{'DATA DE CONTROLES Y LLAVES'!I$6:I1000,'DATA DE CONTROLES Y LLAVES'!G$6:G1000},2,FALSE),"")</f>
        <v/>
      </c>
      <c r="E413" s="13" t="s">
        <v>22</v>
      </c>
      <c r="F413" s="176"/>
      <c r="G413" s="176"/>
    </row>
    <row r="414">
      <c r="B414" s="192" t="str">
        <f t="shared" si="2"/>
        <v>156B</v>
      </c>
      <c r="C414" s="185" t="str">
        <f t="array" ref="C414">IFNA(VLOOKUP(B414,{'DATA DE CONTROLES Y LLAVES'!I$6:I1000,'DATA DE CONTROLES Y LLAVES'!F$6:F1000},2,FALSE),"")</f>
        <v/>
      </c>
      <c r="D414" s="185" t="str">
        <f t="array" ref="D414">IFNA(VLOOKUP(B414,{'DATA DE CONTROLES Y LLAVES'!I$6:I1000,'DATA DE CONTROLES Y LLAVES'!G$6:G1000},2,FALSE),"")</f>
        <v/>
      </c>
      <c r="E414" s="13" t="s">
        <v>22</v>
      </c>
      <c r="F414" s="176"/>
      <c r="G414" s="176"/>
    </row>
    <row r="415">
      <c r="B415" s="192" t="str">
        <f t="shared" si="2"/>
        <v>157B</v>
      </c>
      <c r="C415" s="185" t="str">
        <f t="array" ref="C415">IFNA(VLOOKUP(B415,{'DATA DE CONTROLES Y LLAVES'!I$6:I1000,'DATA DE CONTROLES Y LLAVES'!F$6:F1000},2,FALSE),"")</f>
        <v>ALVARO (HIJO)</v>
      </c>
      <c r="D415" s="185" t="str">
        <f t="array" ref="D415">IFNA(VLOOKUP(B415,{'DATA DE CONTROLES Y LLAVES'!I$6:I1000,'DATA DE CONTROLES Y LLAVES'!G$6:G1000},2,FALSE),"")</f>
        <v>PARRA</v>
      </c>
      <c r="E415" s="13" t="s">
        <v>47</v>
      </c>
      <c r="F415" s="176"/>
      <c r="G415" s="176"/>
    </row>
    <row r="416">
      <c r="B416" s="192" t="str">
        <f t="shared" si="2"/>
        <v>158B</v>
      </c>
      <c r="C416" s="185" t="str">
        <f t="array" ref="C416">IFNA(VLOOKUP(B416,{'DATA DE CONTROLES Y LLAVES'!I$6:I1000,'DATA DE CONTROLES Y LLAVES'!F$6:F1000},2,FALSE),"")</f>
        <v>ALMIR</v>
      </c>
      <c r="D416" s="185" t="str">
        <f t="array" ref="D416">IFNA(VLOOKUP(B416,{'DATA DE CONTROLES Y LLAVES'!I$6:I1000,'DATA DE CONTROLES Y LLAVES'!G$6:G1000},2,FALSE),"")</f>
        <v>PARRA</v>
      </c>
      <c r="E416" s="13" t="s">
        <v>22</v>
      </c>
      <c r="F416" s="176"/>
      <c r="G416" s="176"/>
    </row>
    <row r="417">
      <c r="B417" s="192" t="str">
        <f t="shared" si="2"/>
        <v>159B</v>
      </c>
      <c r="C417" s="185" t="str">
        <f t="array" ref="C417">IFNA(VLOOKUP(B417,{'DATA DE CONTROLES Y LLAVES'!I$6:I1000,'DATA DE CONTROLES Y LLAVES'!F$6:F1000},2,FALSE),"")</f>
        <v/>
      </c>
      <c r="D417" s="185" t="str">
        <f t="array" ref="D417">IFNA(VLOOKUP(B417,{'DATA DE CONTROLES Y LLAVES'!I$6:I1000,'DATA DE CONTROLES Y LLAVES'!G$6:G1000},2,FALSE),"")</f>
        <v/>
      </c>
      <c r="E417" s="13" t="s">
        <v>22</v>
      </c>
      <c r="F417" s="176"/>
      <c r="G417" s="176"/>
    </row>
    <row r="418">
      <c r="B418" s="192" t="str">
        <f t="shared" si="2"/>
        <v>160B</v>
      </c>
      <c r="C418" s="185" t="str">
        <f t="array" ref="C418">IFNA(VLOOKUP(B418,{'DATA DE CONTROLES Y LLAVES'!I$6:I1000,'DATA DE CONTROLES Y LLAVES'!F$6:F1000},2,FALSE),"")</f>
        <v>JEYLIN</v>
      </c>
      <c r="D418" s="185" t="str">
        <f t="array" ref="D418">IFNA(VLOOKUP(B418,{'DATA DE CONTROLES Y LLAVES'!I$6:I1000,'DATA DE CONTROLES Y LLAVES'!G$6:G1000},2,FALSE),"")</f>
        <v>CONTRERAS</v>
      </c>
      <c r="E418" s="13" t="s">
        <v>22</v>
      </c>
      <c r="F418" s="176"/>
      <c r="G418" s="176"/>
    </row>
    <row r="419">
      <c r="B419" s="192" t="str">
        <f t="shared" si="2"/>
        <v>161B</v>
      </c>
      <c r="C419" s="185" t="str">
        <f t="array" ref="C419">IFNA(VLOOKUP(B419,{'DATA DE CONTROLES Y LLAVES'!I$6:I1000,'DATA DE CONTROLES Y LLAVES'!F$6:F1000},2,FALSE),"")</f>
        <v>NASAU</v>
      </c>
      <c r="D419" s="185" t="str">
        <f t="array" ref="D419">IFNA(VLOOKUP(B419,{'DATA DE CONTROLES Y LLAVES'!I$6:I1000,'DATA DE CONTROLES Y LLAVES'!G$6:G1000},2,FALSE),"")</f>
        <v>MANRIQUE</v>
      </c>
      <c r="E419" s="13" t="s">
        <v>22</v>
      </c>
      <c r="F419" s="176"/>
      <c r="G419" s="176"/>
    </row>
    <row r="420">
      <c r="B420" s="192" t="str">
        <f t="shared" si="2"/>
        <v>162B</v>
      </c>
      <c r="C420" s="185" t="str">
        <f t="array" ref="C420">IFNA(VLOOKUP(B420,{'DATA DE CONTROLES Y LLAVES'!I$6:I1000,'DATA DE CONTROLES Y LLAVES'!F$6:F1000},2,FALSE),"")</f>
        <v/>
      </c>
      <c r="D420" s="185" t="str">
        <f t="array" ref="D420">IFNA(VLOOKUP(B420,{'DATA DE CONTROLES Y LLAVES'!I$6:I1000,'DATA DE CONTROLES Y LLAVES'!G$6:G1000},2,FALSE),"")</f>
        <v/>
      </c>
      <c r="E420" s="13" t="s">
        <v>22</v>
      </c>
      <c r="F420" s="176"/>
      <c r="G420" s="176"/>
    </row>
    <row r="421">
      <c r="B421" s="192" t="str">
        <f t="shared" si="2"/>
        <v>163B</v>
      </c>
      <c r="C421" s="185" t="str">
        <f t="array" ref="C421">IFNA(VLOOKUP(B421,{'DATA DE CONTROLES Y LLAVES'!I$6:I1000,'DATA DE CONTROLES Y LLAVES'!F$6:F1000},2,FALSE),"")</f>
        <v>ALVARO (HIJO)</v>
      </c>
      <c r="D421" s="185" t="str">
        <f t="array" ref="D421">IFNA(VLOOKUP(B421,{'DATA DE CONTROLES Y LLAVES'!I$6:I1000,'DATA DE CONTROLES Y LLAVES'!G$6:G1000},2,FALSE),"")</f>
        <v>PARRA</v>
      </c>
      <c r="E421" s="13" t="s">
        <v>260</v>
      </c>
      <c r="F421" s="176"/>
      <c r="G421" s="176"/>
    </row>
    <row r="422">
      <c r="B422" s="192" t="str">
        <f t="shared" si="2"/>
        <v>164B</v>
      </c>
      <c r="C422" s="185" t="str">
        <f t="array" ref="C422">IFNA(VLOOKUP(B422,{'DATA DE CONTROLES Y LLAVES'!I$6:I1000,'DATA DE CONTROLES Y LLAVES'!F$6:F1000},2,FALSE),"")</f>
        <v>ERICH </v>
      </c>
      <c r="D422" s="185" t="str">
        <f t="array" ref="D422">IFNA(VLOOKUP(B422,{'DATA DE CONTROLES Y LLAVES'!I$6:I1000,'DATA DE CONTROLES Y LLAVES'!G$6:G1000},2,FALSE),"")</f>
        <v>PEÑA</v>
      </c>
      <c r="E422" s="13" t="s">
        <v>87</v>
      </c>
      <c r="F422" s="176"/>
      <c r="G422" s="176"/>
    </row>
    <row r="423">
      <c r="B423" s="192" t="str">
        <f t="shared" si="2"/>
        <v>165B</v>
      </c>
      <c r="C423" s="185" t="str">
        <f t="array" ref="C423">IFNA(VLOOKUP(B423,{'DATA DE CONTROLES Y LLAVES'!I$6:I1000,'DATA DE CONTROLES Y LLAVES'!F$6:F1000},2,FALSE),"")</f>
        <v>GABRIEL </v>
      </c>
      <c r="D423" s="185" t="str">
        <f t="array" ref="D423">IFNA(VLOOKUP(B423,{'DATA DE CONTROLES Y LLAVES'!I$6:I1000,'DATA DE CONTROLES Y LLAVES'!G$6:G1000},2,FALSE),"")</f>
        <v>CUEVAS</v>
      </c>
      <c r="E423" s="13" t="s">
        <v>47</v>
      </c>
      <c r="F423" s="176"/>
      <c r="G423" s="176"/>
    </row>
    <row r="424">
      <c r="B424" s="192" t="str">
        <f t="shared" si="2"/>
        <v>166B</v>
      </c>
      <c r="C424" s="185" t="str">
        <f t="array" ref="C424">IFNA(VLOOKUP(B424,{'DATA DE CONTROLES Y LLAVES'!I$6:I1000,'DATA DE CONTROLES Y LLAVES'!F$6:F1000},2,FALSE),"")</f>
        <v/>
      </c>
      <c r="D424" s="185" t="str">
        <f t="array" ref="D424">IFNA(VLOOKUP(B424,{'DATA DE CONTROLES Y LLAVES'!I$6:I1000,'DATA DE CONTROLES Y LLAVES'!G$6:G1000},2,FALSE),"")</f>
        <v/>
      </c>
      <c r="E424" s="13" t="s">
        <v>22</v>
      </c>
      <c r="F424" s="176"/>
      <c r="G424" s="176"/>
    </row>
    <row r="425">
      <c r="B425" s="192" t="str">
        <f t="shared" si="2"/>
        <v>167B</v>
      </c>
      <c r="C425" s="185" t="str">
        <f t="array" ref="C425">IFNA(VLOOKUP(B425,{'DATA DE CONTROLES Y LLAVES'!I$6:I1000,'DATA DE CONTROLES Y LLAVES'!F$6:F1000},2,FALSE),"")</f>
        <v/>
      </c>
      <c r="D425" s="185" t="str">
        <f t="array" ref="D425">IFNA(VLOOKUP(B425,{'DATA DE CONTROLES Y LLAVES'!I$6:I1000,'DATA DE CONTROLES Y LLAVES'!G$6:G1000},2,FALSE),"")</f>
        <v/>
      </c>
      <c r="E425" s="13" t="s">
        <v>22</v>
      </c>
      <c r="F425" s="176"/>
      <c r="G425" s="176"/>
    </row>
    <row r="426">
      <c r="B426" s="192" t="str">
        <f t="shared" si="2"/>
        <v>168B</v>
      </c>
      <c r="C426" s="185" t="str">
        <f t="array" ref="C426">IFNA(VLOOKUP(B426,{'DATA DE CONTROLES Y LLAVES'!I$6:I1000,'DATA DE CONTROLES Y LLAVES'!F$6:F1000},2,FALSE),"")</f>
        <v/>
      </c>
      <c r="D426" s="185" t="str">
        <f t="array" ref="D426">IFNA(VLOOKUP(B426,{'DATA DE CONTROLES Y LLAVES'!I$6:I1000,'DATA DE CONTROLES Y LLAVES'!G$6:G1000},2,FALSE),"")</f>
        <v/>
      </c>
      <c r="E426" s="13" t="s">
        <v>22</v>
      </c>
      <c r="F426" s="176"/>
      <c r="G426" s="176"/>
    </row>
    <row r="427">
      <c r="B427" s="192" t="str">
        <f t="shared" si="2"/>
        <v>169B</v>
      </c>
      <c r="C427" s="185" t="str">
        <f t="array" ref="C427">IFNA(VLOOKUP(B427,{'DATA DE CONTROLES Y LLAVES'!I$6:I1000,'DATA DE CONTROLES Y LLAVES'!F$6:F1000},2,FALSE),"")</f>
        <v>LUIS DANIEL</v>
      </c>
      <c r="D427" s="185" t="str">
        <f t="array" ref="D427">IFNA(VLOOKUP(B427,{'DATA DE CONTROLES Y LLAVES'!I$6:I1000,'DATA DE CONTROLES Y LLAVES'!G$6:G1000},2,FALSE),"")</f>
        <v>JIMÉNEZ</v>
      </c>
      <c r="E427" s="13" t="s">
        <v>22</v>
      </c>
      <c r="F427" s="176"/>
      <c r="G427" s="176"/>
    </row>
    <row r="428">
      <c r="B428" s="192" t="str">
        <f t="shared" si="2"/>
        <v>170B</v>
      </c>
      <c r="C428" s="185" t="str">
        <f t="array" ref="C428">IFNA(VLOOKUP(B428,{'DATA DE CONTROLES Y LLAVES'!I$6:I1000,'DATA DE CONTROLES Y LLAVES'!F$6:F1000},2,FALSE),"")</f>
        <v>RICHARD </v>
      </c>
      <c r="D428" s="185" t="str">
        <f t="array" ref="D428">IFNA(VLOOKUP(B428,{'DATA DE CONTROLES Y LLAVES'!I$6:I1000,'DATA DE CONTROLES Y LLAVES'!G$6:G1000},2,FALSE),"")</f>
        <v>LOZADA</v>
      </c>
      <c r="E428" s="13" t="s">
        <v>87</v>
      </c>
      <c r="F428" s="176"/>
      <c r="G428" s="176"/>
    </row>
    <row r="429">
      <c r="B429" s="192" t="str">
        <f t="shared" si="2"/>
        <v>171B</v>
      </c>
      <c r="C429" s="185" t="str">
        <f t="array" ref="C429">IFNA(VLOOKUP(B429,{'DATA DE CONTROLES Y LLAVES'!I$6:I1000,'DATA DE CONTROLES Y LLAVES'!F$6:F1000},2,FALSE),"")</f>
        <v>JESUS</v>
      </c>
      <c r="D429" s="185" t="str">
        <f t="array" ref="D429">IFNA(VLOOKUP(B429,{'DATA DE CONTROLES Y LLAVES'!I$6:I1000,'DATA DE CONTROLES Y LLAVES'!G$6:G1000},2,FALSE),"")</f>
        <v>CASTRO</v>
      </c>
      <c r="E429" s="13" t="s">
        <v>22</v>
      </c>
      <c r="F429" s="176"/>
      <c r="G429" s="176"/>
    </row>
    <row r="430">
      <c r="B430" s="192" t="str">
        <f t="shared" si="2"/>
        <v>172B</v>
      </c>
      <c r="C430" s="185" t="str">
        <f t="array" ref="C430">IFNA(VLOOKUP(B430,{'DATA DE CONTROLES Y LLAVES'!I$6:I1000,'DATA DE CONTROLES Y LLAVES'!F$6:F1000},2,FALSE),"")</f>
        <v>YOSELIN</v>
      </c>
      <c r="D430" s="185" t="str">
        <f t="array" ref="D430">IFNA(VLOOKUP(B430,{'DATA DE CONTROLES Y LLAVES'!I$6:I1000,'DATA DE CONTROLES Y LLAVES'!G$6:G1000},2,FALSE),"")</f>
        <v>MORA</v>
      </c>
      <c r="E430" s="13" t="s">
        <v>22</v>
      </c>
      <c r="F430" s="176"/>
      <c r="G430" s="176"/>
    </row>
    <row r="431">
      <c r="B431" s="192" t="str">
        <f t="shared" si="2"/>
        <v>173B</v>
      </c>
      <c r="C431" s="185" t="str">
        <f t="array" ref="C431">IFNA(VLOOKUP(B431,{'DATA DE CONTROLES Y LLAVES'!I$6:I1000,'DATA DE CONTROLES Y LLAVES'!F$6:F1000},2,FALSE),"")</f>
        <v>GLEISYS</v>
      </c>
      <c r="D431" s="185" t="str">
        <f t="array" ref="D431">IFNA(VLOOKUP(B431,{'DATA DE CONTROLES Y LLAVES'!I$6:I1000,'DATA DE CONTROLES Y LLAVES'!G$6:G1000},2,FALSE),"")</f>
        <v>CHAVEZ</v>
      </c>
      <c r="E431" s="13" t="s">
        <v>22</v>
      </c>
      <c r="F431" s="176"/>
      <c r="G431" s="176"/>
    </row>
    <row r="432">
      <c r="B432" s="192" t="str">
        <f t="shared" si="2"/>
        <v>174B</v>
      </c>
      <c r="C432" s="185" t="str">
        <f t="array" ref="C432">IFNA(VLOOKUP(B432,{'DATA DE CONTROLES Y LLAVES'!I$6:I1000,'DATA DE CONTROLES Y LLAVES'!F$6:F1000},2,FALSE),"")</f>
        <v>GLEISYS</v>
      </c>
      <c r="D432" s="185" t="str">
        <f t="array" ref="D432">IFNA(VLOOKUP(B432,{'DATA DE CONTROLES Y LLAVES'!I$6:I1000,'DATA DE CONTROLES Y LLAVES'!G$6:G1000},2,FALSE),"")</f>
        <v>CHAVEZ</v>
      </c>
      <c r="E432" s="13" t="s">
        <v>47</v>
      </c>
      <c r="F432" s="176"/>
      <c r="G432" s="176"/>
    </row>
    <row r="433">
      <c r="B433" s="192" t="str">
        <f t="shared" si="2"/>
        <v>175B</v>
      </c>
      <c r="C433" s="185" t="str">
        <f t="array" ref="C433">IFNA(VLOOKUP(B433,{'DATA DE CONTROLES Y LLAVES'!I$6:I1000,'DATA DE CONTROLES Y LLAVES'!F$6:F1000},2,FALSE),"")</f>
        <v>HILDA</v>
      </c>
      <c r="D433" s="185" t="str">
        <f t="array" ref="D433">IFNA(VLOOKUP(B433,{'DATA DE CONTROLES Y LLAVES'!I$6:I1000,'DATA DE CONTROLES Y LLAVES'!G$6:G1000},2,FALSE),"")</f>
        <v>FUENTES</v>
      </c>
      <c r="E433" s="13" t="s">
        <v>22</v>
      </c>
      <c r="F433" s="176"/>
      <c r="G433" s="176"/>
    </row>
    <row r="434">
      <c r="B434" s="192" t="str">
        <f t="shared" si="2"/>
        <v>176B</v>
      </c>
      <c r="C434" s="185" t="str">
        <f t="array" ref="C434">IFNA(VLOOKUP(B434,{'DATA DE CONTROLES Y LLAVES'!I$6:I1000,'DATA DE CONTROLES Y LLAVES'!F$6:F1000},2,FALSE),"")</f>
        <v>EDUARDO (NIETO)</v>
      </c>
      <c r="D434" s="185" t="str">
        <f t="array" ref="D434">IFNA(VLOOKUP(B434,{'DATA DE CONTROLES Y LLAVES'!I$6:I1000,'DATA DE CONTROLES Y LLAVES'!G$6:G1000},2,FALSE),"")</f>
        <v>HERRERA</v>
      </c>
      <c r="E434" s="13" t="s">
        <v>22</v>
      </c>
      <c r="F434" s="176"/>
      <c r="G434" s="176"/>
    </row>
    <row r="435">
      <c r="B435" s="192" t="str">
        <f t="shared" si="2"/>
        <v>177B</v>
      </c>
      <c r="C435" s="185" t="str">
        <f t="array" ref="C435">IFNA(VLOOKUP(B435,{'DATA DE CONTROLES Y LLAVES'!I$6:I1000,'DATA DE CONTROLES Y LLAVES'!F$6:F1000},2,FALSE),"")</f>
        <v>DAVID </v>
      </c>
      <c r="D435" s="185" t="str">
        <f t="array" ref="D435">IFNA(VLOOKUP(B435,{'DATA DE CONTROLES Y LLAVES'!I$6:I1000,'DATA DE CONTROLES Y LLAVES'!G$6:G1000},2,FALSE),"")</f>
        <v>GOMEZ</v>
      </c>
      <c r="E435" s="13" t="s">
        <v>47</v>
      </c>
      <c r="F435" s="176"/>
      <c r="G435" s="176"/>
    </row>
    <row r="436">
      <c r="B436" s="192" t="str">
        <f t="shared" si="2"/>
        <v>178B</v>
      </c>
      <c r="C436" s="185" t="str">
        <f t="array" ref="C436">IFNA(VLOOKUP(B436,{'DATA DE CONTROLES Y LLAVES'!I$6:I1000,'DATA DE CONTROLES Y LLAVES'!F$6:F1000},2,FALSE),"")</f>
        <v/>
      </c>
      <c r="D436" s="185" t="str">
        <f t="array" ref="D436">IFNA(VLOOKUP(B436,{'DATA DE CONTROLES Y LLAVES'!I$6:I1000,'DATA DE CONTROLES Y LLAVES'!G$6:G1000},2,FALSE),"")</f>
        <v/>
      </c>
      <c r="E436" s="13" t="s">
        <v>22</v>
      </c>
      <c r="F436" s="176"/>
      <c r="G436" s="176"/>
    </row>
    <row r="437">
      <c r="B437" s="192" t="str">
        <f t="shared" si="2"/>
        <v>179B</v>
      </c>
      <c r="C437" s="185" t="str">
        <f t="array" ref="C437">IFNA(VLOOKUP(B437,{'DATA DE CONTROLES Y LLAVES'!I$6:I1000,'DATA DE CONTROLES Y LLAVES'!F$6:F1000},2,FALSE),"")</f>
        <v>ALEJANDRO</v>
      </c>
      <c r="D437" s="185" t="str">
        <f t="array" ref="D437">IFNA(VLOOKUP(B437,{'DATA DE CONTROLES Y LLAVES'!I$6:I1000,'DATA DE CONTROLES Y LLAVES'!G$6:G1000},2,FALSE),"")</f>
        <v>LEMUS</v>
      </c>
      <c r="E437" s="13" t="s">
        <v>22</v>
      </c>
      <c r="F437" s="176"/>
      <c r="G437" s="176"/>
    </row>
    <row r="438">
      <c r="B438" s="192" t="str">
        <f t="shared" si="2"/>
        <v>180B</v>
      </c>
      <c r="C438" s="185" t="str">
        <f t="array" ref="C438">IFNA(VLOOKUP(B438,{'DATA DE CONTROLES Y LLAVES'!I$6:I1000,'DATA DE CONTROLES Y LLAVES'!F$6:F1000},2,FALSE),"")</f>
        <v>DAVID </v>
      </c>
      <c r="D438" s="185" t="str">
        <f t="array" ref="D438">IFNA(VLOOKUP(B438,{'DATA DE CONTROLES Y LLAVES'!I$6:I1000,'DATA DE CONTROLES Y LLAVES'!G$6:G1000},2,FALSE),"")</f>
        <v>GOMEZ</v>
      </c>
      <c r="E438" s="13" t="s">
        <v>47</v>
      </c>
      <c r="F438" s="176"/>
      <c r="G438" s="176"/>
    </row>
    <row r="439">
      <c r="B439" s="192" t="str">
        <f t="shared" si="2"/>
        <v>181B</v>
      </c>
      <c r="C439" s="185" t="str">
        <f t="array" ref="C439">IFNA(VLOOKUP(B439,{'DATA DE CONTROLES Y LLAVES'!I$6:I1000,'DATA DE CONTROLES Y LLAVES'!F$6:F1000},2,FALSE),"")</f>
        <v/>
      </c>
      <c r="D439" s="185" t="str">
        <f t="array" ref="D439">IFNA(VLOOKUP(B439,{'DATA DE CONTROLES Y LLAVES'!I$6:I1000,'DATA DE CONTROLES Y LLAVES'!G$6:G1000},2,FALSE),"")</f>
        <v/>
      </c>
      <c r="E439" s="13" t="s">
        <v>22</v>
      </c>
      <c r="F439" s="176"/>
      <c r="G439" s="176"/>
    </row>
    <row r="440">
      <c r="B440" s="192" t="str">
        <f t="shared" si="2"/>
        <v>182B</v>
      </c>
      <c r="C440" s="185" t="str">
        <f t="array" ref="C440">IFNA(VLOOKUP(B440,{'DATA DE CONTROLES Y LLAVES'!I$6:I1000,'DATA DE CONTROLES Y LLAVES'!F$6:F1000},2,FALSE),"")</f>
        <v/>
      </c>
      <c r="D440" s="185" t="str">
        <f t="array" ref="D440">IFNA(VLOOKUP(B440,{'DATA DE CONTROLES Y LLAVES'!I$6:I1000,'DATA DE CONTROLES Y LLAVES'!G$6:G1000},2,FALSE),"")</f>
        <v/>
      </c>
      <c r="E440" s="13" t="s">
        <v>22</v>
      </c>
      <c r="F440" s="176"/>
      <c r="G440" s="176"/>
    </row>
    <row r="441">
      <c r="B441" s="192" t="str">
        <f t="shared" si="2"/>
        <v>183B</v>
      </c>
      <c r="C441" s="185" t="str">
        <f t="array" ref="C441">IFNA(VLOOKUP(B441,{'DATA DE CONTROLES Y LLAVES'!I$6:I1000,'DATA DE CONTROLES Y LLAVES'!F$6:F1000},2,FALSE),"")</f>
        <v>Ender </v>
      </c>
      <c r="D441" s="185" t="str">
        <f t="array" ref="D441">IFNA(VLOOKUP(B441,{'DATA DE CONTROLES Y LLAVES'!I$6:I1000,'DATA DE CONTROLES Y LLAVES'!G$6:G1000},2,FALSE),"")</f>
        <v>gonzalez</v>
      </c>
      <c r="E441" s="13" t="s">
        <v>22</v>
      </c>
      <c r="F441" s="176"/>
      <c r="G441" s="176"/>
    </row>
    <row r="442">
      <c r="B442" s="192" t="str">
        <f t="shared" si="2"/>
        <v>184B</v>
      </c>
      <c r="C442" s="185" t="str">
        <f t="array" ref="C442">IFNA(VLOOKUP(B442,{'DATA DE CONTROLES Y LLAVES'!I$6:I1000,'DATA DE CONTROLES Y LLAVES'!F$6:F1000},2,FALSE),"")</f>
        <v>CÉSAR</v>
      </c>
      <c r="D442" s="185" t="str">
        <f t="array" ref="D442">IFNA(VLOOKUP(B442,{'DATA DE CONTROLES Y LLAVES'!I$6:I1000,'DATA DE CONTROLES Y LLAVES'!G$6:G1000},2,FALSE),"")</f>
        <v>RODRÍGUEZ</v>
      </c>
      <c r="E442" s="13" t="s">
        <v>22</v>
      </c>
      <c r="F442" s="176"/>
      <c r="G442" s="176"/>
    </row>
    <row r="443">
      <c r="B443" s="192" t="str">
        <f t="shared" si="2"/>
        <v>185B</v>
      </c>
      <c r="C443" s="185" t="str">
        <f t="array" ref="C443">IFNA(VLOOKUP(B443,{'DATA DE CONTROLES Y LLAVES'!I$6:I1000,'DATA DE CONTROLES Y LLAVES'!F$6:F1000},2,FALSE),"")</f>
        <v>MARCOS</v>
      </c>
      <c r="D443" s="185" t="str">
        <f t="array" ref="D443">IFNA(VLOOKUP(B443,{'DATA DE CONTROLES Y LLAVES'!I$6:I1000,'DATA DE CONTROLES Y LLAVES'!G$6:G1000},2,FALSE),"")</f>
        <v>SABINA</v>
      </c>
      <c r="E443" s="13" t="s">
        <v>22</v>
      </c>
      <c r="F443" s="176"/>
      <c r="G443" s="176"/>
    </row>
    <row r="444">
      <c r="B444" s="192" t="str">
        <f t="shared" si="2"/>
        <v>186B</v>
      </c>
      <c r="C444" s="185" t="str">
        <f t="array" ref="C444">IFNA(VLOOKUP(B444,{'DATA DE CONTROLES Y LLAVES'!I$6:I1000,'DATA DE CONTROLES Y LLAVES'!F$6:F1000},2,FALSE),"")</f>
        <v>CRISTOFER</v>
      </c>
      <c r="D444" s="185" t="str">
        <f t="array" ref="D444">IFNA(VLOOKUP(B444,{'DATA DE CONTROLES Y LLAVES'!I$6:I1000,'DATA DE CONTROLES Y LLAVES'!G$6:G1000},2,FALSE),"")</f>
        <v>CARRERA</v>
      </c>
      <c r="E444" s="13" t="s">
        <v>47</v>
      </c>
      <c r="F444" s="176"/>
      <c r="G444" s="176"/>
    </row>
    <row r="445">
      <c r="B445" s="192" t="str">
        <f t="shared" si="2"/>
        <v>187B</v>
      </c>
      <c r="C445" s="185" t="str">
        <f t="array" ref="C445">IFNA(VLOOKUP(B445,{'DATA DE CONTROLES Y LLAVES'!I$6:I1000,'DATA DE CONTROLES Y LLAVES'!F$6:F1000},2,FALSE),"")</f>
        <v>VICTOR </v>
      </c>
      <c r="D445" s="185" t="str">
        <f t="array" ref="D445">IFNA(VLOOKUP(B445,{'DATA DE CONTROLES Y LLAVES'!I$6:I1000,'DATA DE CONTROLES Y LLAVES'!G$6:G1000},2,FALSE),"")</f>
        <v>PEREZ</v>
      </c>
      <c r="E445" s="13" t="s">
        <v>47</v>
      </c>
      <c r="F445" s="176"/>
      <c r="G445" s="176"/>
    </row>
    <row r="446">
      <c r="B446" s="192" t="str">
        <f t="shared" si="2"/>
        <v>188B</v>
      </c>
      <c r="C446" s="185" t="str">
        <f t="array" ref="C446">IFNA(VLOOKUP(B446,{'DATA DE CONTROLES Y LLAVES'!I$6:I1000,'DATA DE CONTROLES Y LLAVES'!F$6:F1000},2,FALSE),"")</f>
        <v>GLEISYS</v>
      </c>
      <c r="D446" s="185" t="str">
        <f t="array" ref="D446">IFNA(VLOOKUP(B446,{'DATA DE CONTROLES Y LLAVES'!I$6:I1000,'DATA DE CONTROLES Y LLAVES'!G$6:G1000},2,FALSE),"")</f>
        <v>CHAVEZ</v>
      </c>
      <c r="E446" s="13" t="s">
        <v>47</v>
      </c>
      <c r="F446" s="176"/>
      <c r="G446" s="176"/>
    </row>
    <row r="447">
      <c r="B447" s="192" t="str">
        <f t="shared" si="2"/>
        <v>189B</v>
      </c>
      <c r="C447" s="185" t="str">
        <f t="array" ref="C447">IFNA(VLOOKUP(B447,{'DATA DE CONTROLES Y LLAVES'!I$6:I1000,'DATA DE CONTROLES Y LLAVES'!F$6:F1000},2,FALSE),"")</f>
        <v/>
      </c>
      <c r="D447" s="185" t="str">
        <f t="array" ref="D447">IFNA(VLOOKUP(B447,{'DATA DE CONTROLES Y LLAVES'!I$6:I1000,'DATA DE CONTROLES Y LLAVES'!G$6:G1000},2,FALSE),"")</f>
        <v/>
      </c>
      <c r="E447" s="13" t="s">
        <v>22</v>
      </c>
      <c r="F447" s="176"/>
      <c r="G447" s="176"/>
    </row>
    <row r="448">
      <c r="B448" s="192" t="str">
        <f t="shared" si="2"/>
        <v>190B</v>
      </c>
      <c r="C448" s="185" t="str">
        <f t="array" ref="C448">IFNA(VLOOKUP(B448,{'DATA DE CONTROLES Y LLAVES'!I$6:I1000,'DATA DE CONTROLES Y LLAVES'!F$6:F1000},2,FALSE),"")</f>
        <v/>
      </c>
      <c r="D448" s="185" t="str">
        <f t="array" ref="D448">IFNA(VLOOKUP(B448,{'DATA DE CONTROLES Y LLAVES'!I$6:I1000,'DATA DE CONTROLES Y LLAVES'!G$6:G1000},2,FALSE),"")</f>
        <v/>
      </c>
      <c r="E448" s="13" t="s">
        <v>22</v>
      </c>
      <c r="F448" s="176"/>
      <c r="G448" s="176"/>
    </row>
    <row r="449">
      <c r="B449" s="192" t="str">
        <f t="shared" si="2"/>
        <v>191B</v>
      </c>
      <c r="C449" s="185" t="str">
        <f t="array" ref="C449">IFNA(VLOOKUP(B449,{'DATA DE CONTROLES Y LLAVES'!I$6:I1000,'DATA DE CONTROLES Y LLAVES'!F$6:F1000},2,FALSE),"")</f>
        <v/>
      </c>
      <c r="D449" s="185" t="str">
        <f t="array" ref="D449">IFNA(VLOOKUP(B449,{'DATA DE CONTROLES Y LLAVES'!I$6:I1000,'DATA DE CONTROLES Y LLAVES'!G$6:G1000},2,FALSE),"")</f>
        <v/>
      </c>
      <c r="E449" s="13" t="s">
        <v>22</v>
      </c>
      <c r="F449" s="176"/>
      <c r="G449" s="176"/>
    </row>
    <row r="450">
      <c r="B450" s="192" t="str">
        <f t="shared" si="2"/>
        <v>192B</v>
      </c>
      <c r="C450" s="185" t="str">
        <f t="array" ref="C450">IFNA(VLOOKUP(B450,{'DATA DE CONTROLES Y LLAVES'!I$6:I1000,'DATA DE CONTROLES Y LLAVES'!F$6:F1000},2,FALSE),"")</f>
        <v/>
      </c>
      <c r="D450" s="185" t="str">
        <f t="array" ref="D450">IFNA(VLOOKUP(B450,{'DATA DE CONTROLES Y LLAVES'!I$6:I1000,'DATA DE CONTROLES Y LLAVES'!G$6:G1000},2,FALSE),"")</f>
        <v/>
      </c>
      <c r="E450" s="13" t="s">
        <v>22</v>
      </c>
      <c r="F450" s="176"/>
      <c r="G450" s="176"/>
    </row>
    <row r="451">
      <c r="B451" s="192" t="str">
        <f t="shared" si="2"/>
        <v>193B</v>
      </c>
      <c r="C451" s="185" t="str">
        <f t="array" ref="C451">IFNA(VLOOKUP(B451,{'DATA DE CONTROLES Y LLAVES'!I$6:I1000,'DATA DE CONTROLES Y LLAVES'!F$6:F1000},2,FALSE),"")</f>
        <v/>
      </c>
      <c r="D451" s="185" t="str">
        <f t="array" ref="D451">IFNA(VLOOKUP(B451,{'DATA DE CONTROLES Y LLAVES'!I$6:I1000,'DATA DE CONTROLES Y LLAVES'!G$6:G1000},2,FALSE),"")</f>
        <v/>
      </c>
      <c r="E451" s="13" t="s">
        <v>22</v>
      </c>
      <c r="F451" s="176"/>
      <c r="G451" s="176"/>
    </row>
    <row r="452">
      <c r="B452" s="192" t="str">
        <f t="shared" si="2"/>
        <v>194B</v>
      </c>
      <c r="C452" s="185" t="str">
        <f t="array" ref="C452">IFNA(VLOOKUP(B452,{'DATA DE CONTROLES Y LLAVES'!I$6:I1000,'DATA DE CONTROLES Y LLAVES'!F$6:F1000},2,FALSE),"")</f>
        <v>GABRIEL (CHIPI)</v>
      </c>
      <c r="D452" s="185" t="str">
        <f t="array" ref="D452">IFNA(VLOOKUP(B452,{'DATA DE CONTROLES Y LLAVES'!I$6:I1000,'DATA DE CONTROLES Y LLAVES'!G$6:G1000},2,FALSE),"")</f>
        <v>CEDEÑO</v>
      </c>
      <c r="E452" s="13" t="s">
        <v>22</v>
      </c>
      <c r="F452" s="176"/>
      <c r="G452" s="176"/>
    </row>
    <row r="453">
      <c r="B453" s="192" t="str">
        <f t="shared" si="2"/>
        <v>195B</v>
      </c>
      <c r="C453" s="185" t="str">
        <f t="array" ref="C453">IFNA(VLOOKUP(B453,{'DATA DE CONTROLES Y LLAVES'!I$6:I1000,'DATA DE CONTROLES Y LLAVES'!F$6:F1000},2,FALSE),"")</f>
        <v/>
      </c>
      <c r="D453" s="185" t="str">
        <f t="array" ref="D453">IFNA(VLOOKUP(B453,{'DATA DE CONTROLES Y LLAVES'!I$6:I1000,'DATA DE CONTROLES Y LLAVES'!G$6:G1000},2,FALSE),"")</f>
        <v/>
      </c>
      <c r="E453" s="13" t="s">
        <v>22</v>
      </c>
      <c r="F453" s="176"/>
      <c r="G453" s="176"/>
    </row>
    <row r="454">
      <c r="B454" s="192" t="str">
        <f t="shared" si="2"/>
        <v>196B</v>
      </c>
      <c r="C454" s="185" t="str">
        <f t="array" ref="C454">IFNA(VLOOKUP(B454,{'DATA DE CONTROLES Y LLAVES'!I$6:I1000,'DATA DE CONTROLES Y LLAVES'!F$6:F1000},2,FALSE),"")</f>
        <v>pipo </v>
      </c>
      <c r="D454" s="185" t="str">
        <f t="array" ref="D454">IFNA(VLOOKUP(B454,{'DATA DE CONTROLES Y LLAVES'!I$6:I1000,'DATA DE CONTROLES Y LLAVES'!G$6:G1000},2,FALSE),"")</f>
        <v/>
      </c>
      <c r="E454" s="13" t="s">
        <v>22</v>
      </c>
      <c r="F454" s="176"/>
      <c r="G454" s="176"/>
    </row>
    <row r="455">
      <c r="B455" s="192" t="str">
        <f t="shared" si="2"/>
        <v>197B</v>
      </c>
      <c r="C455" s="185" t="str">
        <f t="array" ref="C455">IFNA(VLOOKUP(B455,{'DATA DE CONTROLES Y LLAVES'!I$6:I1000,'DATA DE CONTROLES Y LLAVES'!F$6:F1000},2,FALSE),"")</f>
        <v>JULIO</v>
      </c>
      <c r="D455" s="185" t="str">
        <f t="array" ref="D455">IFNA(VLOOKUP(B455,{'DATA DE CONTROLES Y LLAVES'!I$6:I1000,'DATA DE CONTROLES Y LLAVES'!G$6:G1000},2,FALSE),"")</f>
        <v>GUERRA</v>
      </c>
      <c r="E455" s="13" t="s">
        <v>22</v>
      </c>
      <c r="F455" s="176"/>
      <c r="G455" s="176"/>
    </row>
    <row r="456">
      <c r="B456" s="192" t="str">
        <f t="shared" si="2"/>
        <v>198B</v>
      </c>
      <c r="C456" s="185" t="str">
        <f t="array" ref="C456">IFNA(VLOOKUP(B456,{'DATA DE CONTROLES Y LLAVES'!I$6:I1000,'DATA DE CONTROLES Y LLAVES'!F$6:F1000},2,FALSE),"")</f>
        <v>ALOIS</v>
      </c>
      <c r="D456" s="185" t="str">
        <f t="array" ref="D456">IFNA(VLOOKUP(B456,{'DATA DE CONTROLES Y LLAVES'!I$6:I1000,'DATA DE CONTROLES Y LLAVES'!G$6:G1000},2,FALSE),"")</f>
        <v>QUIJANOS</v>
      </c>
      <c r="E456" s="13" t="s">
        <v>22</v>
      </c>
      <c r="F456" s="176"/>
      <c r="G456" s="176"/>
    </row>
    <row r="457">
      <c r="B457" s="192" t="str">
        <f t="shared" si="2"/>
        <v>199B</v>
      </c>
      <c r="C457" s="185" t="str">
        <f t="array" ref="C457">IFNA(VLOOKUP(B457,{'DATA DE CONTROLES Y LLAVES'!I$6:I1000,'DATA DE CONTROLES Y LLAVES'!F$6:F1000},2,FALSE),"")</f>
        <v>liduvina </v>
      </c>
      <c r="D457" s="185" t="str">
        <f t="array" ref="D457">IFNA(VLOOKUP(B457,{'DATA DE CONTROLES Y LLAVES'!I$6:I1000,'DATA DE CONTROLES Y LLAVES'!G$6:G1000},2,FALSE),"")</f>
        <v/>
      </c>
      <c r="E457" s="13" t="s">
        <v>22</v>
      </c>
      <c r="F457" s="176"/>
      <c r="G457" s="176"/>
    </row>
    <row r="458">
      <c r="B458" s="192" t="str">
        <f t="shared" si="2"/>
        <v>200B</v>
      </c>
      <c r="C458" s="185" t="str">
        <f t="array" ref="C458">IFNA(VLOOKUP(B458,{'DATA DE CONTROLES Y LLAVES'!I$6:I1000,'DATA DE CONTROLES Y LLAVES'!F$6:F1000},2,FALSE),"")</f>
        <v>HEIDY</v>
      </c>
      <c r="D458" s="185" t="str">
        <f t="array" ref="D458">IFNA(VLOOKUP(B458,{'DATA DE CONTROLES Y LLAVES'!I$6:I1000,'DATA DE CONTROLES Y LLAVES'!G$6:G1000},2,FALSE),"")</f>
        <v>BRITO</v>
      </c>
      <c r="E458" s="13" t="s">
        <v>22</v>
      </c>
      <c r="F458" s="176"/>
      <c r="G458" s="176"/>
    </row>
    <row r="459">
      <c r="B459" s="192" t="str">
        <f t="shared" si="2"/>
        <v>201B</v>
      </c>
      <c r="C459" s="185" t="str">
        <f t="array" ref="C459">IFNA(VLOOKUP(B459,{'DATA DE CONTROLES Y LLAVES'!I$6:I1000,'DATA DE CONTROLES Y LLAVES'!F$6:F1000},2,FALSE),"")</f>
        <v>KAREN</v>
      </c>
      <c r="D459" s="185" t="str">
        <f t="array" ref="D459">IFNA(VLOOKUP(B459,{'DATA DE CONTROLES Y LLAVES'!I$6:I1000,'DATA DE CONTROLES Y LLAVES'!G$6:G1000},2,FALSE),"")</f>
        <v>CHIRINOS</v>
      </c>
      <c r="E459" s="13" t="s">
        <v>22</v>
      </c>
      <c r="F459" s="176"/>
      <c r="G459" s="176"/>
    </row>
    <row r="460">
      <c r="B460" s="192" t="str">
        <f t="shared" si="2"/>
        <v>202B</v>
      </c>
      <c r="C460" s="185" t="str">
        <f t="array" ref="C460">IFNA(VLOOKUP(B460,{'DATA DE CONTROLES Y LLAVES'!I$6:I1000,'DATA DE CONTROLES Y LLAVES'!F$6:F1000},2,FALSE),"")</f>
        <v>Gelvis</v>
      </c>
      <c r="D460" s="185" t="str">
        <f t="array" ref="D460">IFNA(VLOOKUP(B460,{'DATA DE CONTROLES Y LLAVES'!I$6:I1000,'DATA DE CONTROLES Y LLAVES'!G$6:G1000},2,FALSE),"")</f>
        <v>MERLO (HIJO)</v>
      </c>
      <c r="E460" s="13" t="s">
        <v>260</v>
      </c>
      <c r="F460" s="176"/>
      <c r="G460" s="176"/>
    </row>
    <row r="461">
      <c r="B461" s="192" t="str">
        <f t="shared" si="2"/>
        <v>203B</v>
      </c>
      <c r="C461" s="185" t="str">
        <f t="array" ref="C461">IFNA(VLOOKUP(B461,{'DATA DE CONTROLES Y LLAVES'!I$6:I1000,'DATA DE CONTROLES Y LLAVES'!F$6:F1000},2,FALSE),"")</f>
        <v>Yesica</v>
      </c>
      <c r="D461" s="185" t="str">
        <f t="array" ref="D461">IFNA(VLOOKUP(B461,{'DATA DE CONTROLES Y LLAVES'!I$6:I1000,'DATA DE CONTROLES Y LLAVES'!G$6:G1000},2,FALSE),"")</f>
        <v>Nuevos</v>
      </c>
      <c r="E461" s="13" t="s">
        <v>22</v>
      </c>
      <c r="F461" s="176"/>
      <c r="G461" s="176"/>
    </row>
    <row r="462">
      <c r="B462" s="192" t="str">
        <f t="shared" si="2"/>
        <v>204B</v>
      </c>
      <c r="C462" s="185" t="str">
        <f t="array" ref="C462">IFNA(VLOOKUP(B462,{'DATA DE CONTROLES Y LLAVES'!I$6:I1000,'DATA DE CONTROLES Y LLAVES'!F$6:F1000},2,FALSE),"")</f>
        <v>Eduardo Padre</v>
      </c>
      <c r="D462" s="185" t="str">
        <f t="array" ref="D462">IFNA(VLOOKUP(B462,{'DATA DE CONTROLES Y LLAVES'!I$6:I1000,'DATA DE CONTROLES Y LLAVES'!G$6:G1000},2,FALSE),"")</f>
        <v>herrera</v>
      </c>
      <c r="E462" s="13" t="s">
        <v>22</v>
      </c>
      <c r="F462" s="176"/>
      <c r="G462" s="176"/>
    </row>
    <row r="463">
      <c r="B463" s="192" t="str">
        <f t="shared" si="2"/>
        <v>205B</v>
      </c>
      <c r="C463" s="185" t="str">
        <f t="array" ref="C463">IFNA(VLOOKUP(B463,{'DATA DE CONTROLES Y LLAVES'!I$6:I1000,'DATA DE CONTROLES Y LLAVES'!F$6:F1000},2,FALSE),"")</f>
        <v>JUANBER </v>
      </c>
      <c r="D463" s="185" t="str">
        <f t="array" ref="D463">IFNA(VLOOKUP(B463,{'DATA DE CONTROLES Y LLAVES'!I$6:I1000,'DATA DE CONTROLES Y LLAVES'!G$6:G1000},2,FALSE),"")</f>
        <v>LOZADA </v>
      </c>
      <c r="E463" s="13" t="s">
        <v>22</v>
      </c>
      <c r="F463" s="176"/>
      <c r="G463" s="176"/>
    </row>
    <row r="464">
      <c r="B464" s="192" t="str">
        <f t="shared" si="2"/>
        <v>206B</v>
      </c>
      <c r="C464" s="185" t="str">
        <f t="array" ref="C464">IFNA(VLOOKUP(B464,{'DATA DE CONTROLES Y LLAVES'!I$6:I1000,'DATA DE CONTROLES Y LLAVES'!F$6:F1000},2,FALSE),"")</f>
        <v>EMPERATRIZ </v>
      </c>
      <c r="D464" s="185" t="str">
        <f t="array" ref="D464">IFNA(VLOOKUP(B464,{'DATA DE CONTROLES Y LLAVES'!I$6:I1000,'DATA DE CONTROLES Y LLAVES'!G$6:G1000},2,FALSE),"")</f>
        <v>MATA</v>
      </c>
      <c r="E464" s="13" t="s">
        <v>22</v>
      </c>
      <c r="F464" s="176"/>
      <c r="G464" s="176"/>
    </row>
    <row r="465">
      <c r="B465" s="192" t="str">
        <f t="shared" si="2"/>
        <v>207B</v>
      </c>
      <c r="C465" s="185" t="str">
        <f t="array" ref="C465">IFNA(VLOOKUP(B465,{'DATA DE CONTROLES Y LLAVES'!I$6:I1000,'DATA DE CONTROLES Y LLAVES'!F$6:F1000},2,FALSE),"")</f>
        <v>Gabriel</v>
      </c>
      <c r="D465" s="185" t="str">
        <f t="array" ref="D465">IFNA(VLOOKUP(B465,{'DATA DE CONTROLES Y LLAVES'!I$6:I1000,'DATA DE CONTROLES Y LLAVES'!G$6:G1000},2,FALSE),"")</f>
        <v>Reverand</v>
      </c>
      <c r="E465" s="13" t="s">
        <v>22</v>
      </c>
      <c r="F465" s="176"/>
      <c r="G465" s="176"/>
    </row>
    <row r="466">
      <c r="B466" s="192" t="str">
        <f t="shared" si="2"/>
        <v>208B</v>
      </c>
      <c r="C466" s="185" t="str">
        <f t="array" ref="C466">IFNA(VLOOKUP(B466,{'DATA DE CONTROLES Y LLAVES'!I$6:I1000,'DATA DE CONTROLES Y LLAVES'!F$6:F1000},2,FALSE),"")</f>
        <v>DARLING</v>
      </c>
      <c r="D466" s="185" t="str">
        <f t="array" ref="D466">IFNA(VLOOKUP(B466,{'DATA DE CONTROLES Y LLAVES'!I$6:I1000,'DATA DE CONTROLES Y LLAVES'!G$6:G1000},2,FALSE),"")</f>
        <v>VIVAS</v>
      </c>
      <c r="E466" s="13" t="s">
        <v>22</v>
      </c>
      <c r="F466" s="176"/>
      <c r="G466" s="176"/>
    </row>
    <row r="467">
      <c r="B467" s="192" t="str">
        <f t="shared" si="2"/>
        <v>209B</v>
      </c>
      <c r="C467" s="185" t="str">
        <f t="array" ref="C467">IFNA(VLOOKUP(B467,{'DATA DE CONTROLES Y LLAVES'!I$6:I1000,'DATA DE CONTROLES Y LLAVES'!F$6:F1000},2,FALSE),"")</f>
        <v>ISAIAS</v>
      </c>
      <c r="D467" s="185" t="str">
        <f t="array" ref="D467">IFNA(VLOOKUP(B467,{'DATA DE CONTROLES Y LLAVES'!I$6:I1000,'DATA DE CONTROLES Y LLAVES'!G$6:G1000},2,FALSE),"")</f>
        <v>GÓMEZ</v>
      </c>
      <c r="E467" s="13" t="s">
        <v>22</v>
      </c>
      <c r="F467" s="176"/>
      <c r="G467" s="176"/>
    </row>
    <row r="468">
      <c r="B468" s="192" t="str">
        <f t="shared" si="2"/>
        <v>210B</v>
      </c>
      <c r="C468" s="185" t="str">
        <f t="array" ref="C468">IFNA(VLOOKUP(B468,{'DATA DE CONTROLES Y LLAVES'!I$6:I1000,'DATA DE CONTROLES Y LLAVES'!F$6:F1000},2,FALSE),"")</f>
        <v>SOUMER </v>
      </c>
      <c r="D468" s="185" t="str">
        <f t="array" ref="D468">IFNA(VLOOKUP(B468,{'DATA DE CONTROLES Y LLAVES'!I$6:I1000,'DATA DE CONTROLES Y LLAVES'!G$6:G1000},2,FALSE),"")</f>
        <v>GOMEZ</v>
      </c>
      <c r="E468" s="13" t="s">
        <v>22</v>
      </c>
      <c r="F468" s="176"/>
      <c r="G468" s="176"/>
    </row>
    <row r="469">
      <c r="B469" s="192" t="str">
        <f t="shared" si="2"/>
        <v>211B</v>
      </c>
      <c r="C469" s="185" t="str">
        <f t="array" ref="C469">IFNA(VLOOKUP(B469,{'DATA DE CONTROLES Y LLAVES'!I$6:I1000,'DATA DE CONTROLES Y LLAVES'!F$6:F1000},2,FALSE),"")</f>
        <v>Alexander </v>
      </c>
      <c r="D469" s="185" t="str">
        <f t="array" ref="D469">IFNA(VLOOKUP(B469,{'DATA DE CONTROLES Y LLAVES'!I$6:I1000,'DATA DE CONTROLES Y LLAVES'!G$6:G1000},2,FALSE),"")</f>
        <v>Escalante</v>
      </c>
      <c r="E469" s="13" t="s">
        <v>22</v>
      </c>
      <c r="F469" s="176"/>
      <c r="G469" s="176"/>
    </row>
    <row r="470">
      <c r="B470" s="192" t="str">
        <f t="shared" si="2"/>
        <v>212B</v>
      </c>
      <c r="C470" s="185" t="str">
        <f t="array" ref="C470">IFNA(VLOOKUP(B470,{'DATA DE CONTROLES Y LLAVES'!I$6:I1000,'DATA DE CONTROLES Y LLAVES'!F$6:F1000},2,FALSE),"")</f>
        <v>BERNE</v>
      </c>
      <c r="D470" s="185" t="str">
        <f t="array" ref="D470">IFNA(VLOOKUP(B470,{'DATA DE CONTROLES Y LLAVES'!I$6:I1000,'DATA DE CONTROLES Y LLAVES'!G$6:G1000},2,FALSE),"")</f>
        <v>VIVAS</v>
      </c>
      <c r="E470" s="13" t="s">
        <v>22</v>
      </c>
      <c r="F470" s="176"/>
      <c r="G470" s="176"/>
    </row>
    <row r="471">
      <c r="B471" s="192" t="str">
        <f t="shared" si="2"/>
        <v>213B</v>
      </c>
      <c r="C471" s="185" t="str">
        <f t="array" ref="C471">IFNA(VLOOKUP(B471,{'DATA DE CONTROLES Y LLAVES'!I$6:I1000,'DATA DE CONTROLES Y LLAVES'!F$6:F1000},2,FALSE),"")</f>
        <v/>
      </c>
      <c r="D471" s="185" t="str">
        <f t="array" ref="D471">IFNA(VLOOKUP(B471,{'DATA DE CONTROLES Y LLAVES'!I$6:I1000,'DATA DE CONTROLES Y LLAVES'!G$6:G1000},2,FALSE),"")</f>
        <v/>
      </c>
      <c r="E471" s="13" t="s">
        <v>22</v>
      </c>
      <c r="F471" s="176"/>
      <c r="G471" s="176"/>
    </row>
    <row r="472">
      <c r="B472" s="192" t="str">
        <f t="shared" si="2"/>
        <v>214B</v>
      </c>
      <c r="C472" s="185" t="str">
        <f t="array" ref="C472">IFNA(VLOOKUP(B472,{'DATA DE CONTROLES Y LLAVES'!I$6:I1000,'DATA DE CONTROLES Y LLAVES'!F$6:F1000},2,FALSE),"")</f>
        <v>Carolina </v>
      </c>
      <c r="D472" s="185" t="str">
        <f t="array" ref="D472">IFNA(VLOOKUP(B472,{'DATA DE CONTROLES Y LLAVES'!I$6:I1000,'DATA DE CONTROLES Y LLAVES'!G$6:G1000},2,FALSE),"")</f>
        <v/>
      </c>
      <c r="E472" s="13"/>
      <c r="F472" s="176"/>
      <c r="G472" s="176"/>
    </row>
    <row r="473">
      <c r="B473" s="192" t="str">
        <f t="shared" si="2"/>
        <v>215B</v>
      </c>
      <c r="C473" s="185" t="str">
        <f t="array" ref="C473">IFNA(VLOOKUP(B473,{'DATA DE CONTROLES Y LLAVES'!I$6:I1000,'DATA DE CONTROLES Y LLAVES'!F$6:F1000},2,FALSE),"")</f>
        <v>Geyskel</v>
      </c>
      <c r="D473" s="185" t="str">
        <f t="array" ref="D473">IFNA(VLOOKUP(B473,{'DATA DE CONTROLES Y LLAVES'!I$6:I1000,'DATA DE CONTROLES Y LLAVES'!G$6:G1000},2,FALSE),"")</f>
        <v/>
      </c>
      <c r="E473" s="13"/>
      <c r="F473" s="176"/>
      <c r="G473" s="176"/>
    </row>
    <row r="474">
      <c r="B474" s="192" t="str">
        <f t="shared" si="2"/>
        <v>216B</v>
      </c>
      <c r="C474" s="185" t="str">
        <f t="array" ref="C474">IFNA(VLOOKUP(B474,{'DATA DE CONTROLES Y LLAVES'!I$6:I1000,'DATA DE CONTROLES Y LLAVES'!F$6:F1000},2,FALSE),"")</f>
        <v>ALVARO</v>
      </c>
      <c r="D474" s="185" t="str">
        <f t="array" ref="D474">IFNA(VLOOKUP(B474,{'DATA DE CONTROLES Y LLAVES'!I$6:I1000,'DATA DE CONTROLES Y LLAVES'!G$6:G1000},2,FALSE),"")</f>
        <v>PARRA</v>
      </c>
      <c r="E474" s="13" t="s">
        <v>22</v>
      </c>
      <c r="F474" s="176"/>
      <c r="G474" s="176"/>
    </row>
    <row r="475">
      <c r="B475" s="192" t="str">
        <f t="shared" si="2"/>
        <v>217B</v>
      </c>
      <c r="C475" s="185" t="str">
        <f t="array" ref="C475">IFNA(VLOOKUP(B475,{'DATA DE CONTROLES Y LLAVES'!I$6:I1000,'DATA DE CONTROLES Y LLAVES'!F$6:F1000},2,FALSE),"")</f>
        <v>Gelvis</v>
      </c>
      <c r="D475" s="185" t="str">
        <f t="array" ref="D475">IFNA(VLOOKUP(B475,{'DATA DE CONTROLES Y LLAVES'!I$6:I1000,'DATA DE CONTROLES Y LLAVES'!G$6:G1000},2,FALSE),"")</f>
        <v>MERLO (HIJO)</v>
      </c>
      <c r="E475" s="13"/>
      <c r="F475" s="176"/>
      <c r="G475" s="176"/>
    </row>
    <row r="476">
      <c r="B476" s="192" t="str">
        <f t="shared" si="2"/>
        <v>218B</v>
      </c>
      <c r="C476" s="185" t="str">
        <f t="array" ref="C476">IFNA(VLOOKUP(B476,{'DATA DE CONTROLES Y LLAVES'!I$6:I1000,'DATA DE CONTROLES Y LLAVES'!F$6:F1000},2,FALSE),"")</f>
        <v/>
      </c>
      <c r="D476" s="185" t="str">
        <f t="array" ref="D476">IFNA(VLOOKUP(B476,{'DATA DE CONTROLES Y LLAVES'!I$6:I1000,'DATA DE CONTROLES Y LLAVES'!G$6:G1000},2,FALSE),"")</f>
        <v/>
      </c>
      <c r="E476" s="13"/>
      <c r="F476" s="176"/>
      <c r="G476" s="176"/>
    </row>
    <row r="477">
      <c r="B477" s="192" t="str">
        <f t="shared" si="2"/>
        <v>219B</v>
      </c>
      <c r="C477" s="185" t="str">
        <f t="array" ref="C477">IFNA(VLOOKUP(B477,{'DATA DE CONTROLES Y LLAVES'!I$6:I1000,'DATA DE CONTROLES Y LLAVES'!F$6:F1000},2,FALSE),"")</f>
        <v>DANIEL</v>
      </c>
      <c r="D477" s="185" t="str">
        <f t="array" ref="D477">IFNA(VLOOKUP(B477,{'DATA DE CONTROLES Y LLAVES'!I$6:I1000,'DATA DE CONTROLES Y LLAVES'!G$6:G1000},2,FALSE),"")</f>
        <v>FERNÁNDEZ</v>
      </c>
      <c r="E477" s="13" t="s">
        <v>22</v>
      </c>
      <c r="F477" s="176"/>
      <c r="G477" s="176"/>
    </row>
    <row r="478">
      <c r="B478" s="192" t="str">
        <f t="shared" si="2"/>
        <v>220B</v>
      </c>
      <c r="C478" s="185" t="str">
        <f t="array" ref="C478">IFNA(VLOOKUP(B478,{'DATA DE CONTROLES Y LLAVES'!I$6:I1000,'DATA DE CONTROLES Y LLAVES'!F$6:F1000},2,FALSE),"")</f>
        <v/>
      </c>
      <c r="D478" s="185" t="str">
        <f t="array" ref="D478">IFNA(VLOOKUP(B478,{'DATA DE CONTROLES Y LLAVES'!I$6:I1000,'DATA DE CONTROLES Y LLAVES'!G$6:G1000},2,FALSE),"")</f>
        <v/>
      </c>
      <c r="E478" s="13"/>
      <c r="F478" s="176"/>
      <c r="G478" s="176"/>
    </row>
    <row r="479">
      <c r="B479" s="192" t="str">
        <f t="shared" si="2"/>
        <v>221B</v>
      </c>
      <c r="C479" s="185" t="str">
        <f t="array" ref="C479">IFNA(VLOOKUP(B479,{'DATA DE CONTROLES Y LLAVES'!I$6:I1000,'DATA DE CONTROLES Y LLAVES'!F$6:F1000},2,FALSE),"")</f>
        <v/>
      </c>
      <c r="D479" s="185" t="str">
        <f t="array" ref="D479">IFNA(VLOOKUP(B479,{'DATA DE CONTROLES Y LLAVES'!I$6:I1000,'DATA DE CONTROLES Y LLAVES'!G$6:G1000},2,FALSE),"")</f>
        <v/>
      </c>
      <c r="E479" s="13"/>
      <c r="F479" s="176"/>
      <c r="G479" s="176"/>
    </row>
    <row r="480">
      <c r="B480" s="192" t="str">
        <f t="shared" si="2"/>
        <v>222B</v>
      </c>
      <c r="C480" s="185" t="str">
        <f t="array" ref="C480">IFNA(VLOOKUP(B480,{'DATA DE CONTROLES Y LLAVES'!I$6:I1000,'DATA DE CONTROLES Y LLAVES'!F$6:F1000},2,FALSE),"")</f>
        <v/>
      </c>
      <c r="D480" s="185" t="str">
        <f t="array" ref="D480">IFNA(VLOOKUP(B480,{'DATA DE CONTROLES Y LLAVES'!I$6:I1000,'DATA DE CONTROLES Y LLAVES'!G$6:G1000},2,FALSE),"")</f>
        <v/>
      </c>
      <c r="E480" s="13"/>
      <c r="F480" s="176"/>
      <c r="G480" s="176"/>
    </row>
    <row r="481">
      <c r="B481" s="192" t="str">
        <f t="shared" si="2"/>
        <v>223B</v>
      </c>
      <c r="C481" s="185" t="str">
        <f t="array" ref="C481">IFNA(VLOOKUP(B481,{'DATA DE CONTROLES Y LLAVES'!I$6:I1000,'DATA DE CONTROLES Y LLAVES'!F$6:F1000},2,FALSE),"")</f>
        <v/>
      </c>
      <c r="D481" s="185" t="str">
        <f t="array" ref="D481">IFNA(VLOOKUP(B481,{'DATA DE CONTROLES Y LLAVES'!I$6:I1000,'DATA DE CONTROLES Y LLAVES'!G$6:G1000},2,FALSE),"")</f>
        <v/>
      </c>
      <c r="E481" s="13"/>
      <c r="F481" s="176"/>
      <c r="G481" s="176"/>
    </row>
    <row r="482">
      <c r="B482" s="192" t="str">
        <f t="shared" si="2"/>
        <v>224B</v>
      </c>
      <c r="C482" s="185" t="str">
        <f t="array" ref="C482">IFNA(VLOOKUP(B482,{'DATA DE CONTROLES Y LLAVES'!I$6:I1000,'DATA DE CONTROLES Y LLAVES'!F$6:F1000},2,FALSE),"")</f>
        <v/>
      </c>
      <c r="D482" s="185" t="str">
        <f t="array" ref="D482">IFNA(VLOOKUP(B482,{'DATA DE CONTROLES Y LLAVES'!I$6:I1000,'DATA DE CONTROLES Y LLAVES'!G$6:G1000},2,FALSE),"")</f>
        <v/>
      </c>
      <c r="E482" s="13"/>
      <c r="F482" s="176"/>
      <c r="G482" s="176"/>
    </row>
    <row r="483">
      <c r="B483" s="192" t="str">
        <f t="shared" si="2"/>
        <v>225B</v>
      </c>
      <c r="C483" s="185" t="str">
        <f t="array" ref="C483">IFNA(VLOOKUP(B483,{'DATA DE CONTROLES Y LLAVES'!I$6:I1000,'DATA DE CONTROLES Y LLAVES'!F$6:F1000},2,FALSE),"")</f>
        <v/>
      </c>
      <c r="D483" s="185" t="str">
        <f t="array" ref="D483">IFNA(VLOOKUP(B483,{'DATA DE CONTROLES Y LLAVES'!I$6:I1000,'DATA DE CONTROLES Y LLAVES'!G$6:G1000},2,FALSE),"")</f>
        <v/>
      </c>
      <c r="E483" s="13"/>
      <c r="F483" s="176"/>
      <c r="G483" s="176"/>
    </row>
    <row r="484">
      <c r="B484" s="192" t="str">
        <f t="shared" si="2"/>
        <v>226B</v>
      </c>
      <c r="C484" s="185" t="str">
        <f t="array" ref="C484">IFNA(VLOOKUP(B484,{'DATA DE CONTROLES Y LLAVES'!I$6:I1000,'DATA DE CONTROLES Y LLAVES'!F$6:F1000},2,FALSE),"")</f>
        <v/>
      </c>
      <c r="D484" s="185" t="str">
        <f t="array" ref="D484">IFNA(VLOOKUP(B484,{'DATA DE CONTROLES Y LLAVES'!I$6:I1000,'DATA DE CONTROLES Y LLAVES'!G$6:G1000},2,FALSE),"")</f>
        <v/>
      </c>
      <c r="E484" s="13"/>
      <c r="F484" s="176"/>
      <c r="G484" s="176"/>
    </row>
    <row r="485">
      <c r="B485" s="192" t="str">
        <f t="shared" si="2"/>
        <v>227B</v>
      </c>
      <c r="C485" s="185" t="str">
        <f t="array" ref="C485">IFNA(VLOOKUP(B485,{'DATA DE CONTROLES Y LLAVES'!I$6:I1000,'DATA DE CONTROLES Y LLAVES'!F$6:F1000},2,FALSE),"")</f>
        <v/>
      </c>
      <c r="D485" s="185" t="str">
        <f t="array" ref="D485">IFNA(VLOOKUP(B485,{'DATA DE CONTROLES Y LLAVES'!I$6:I1000,'DATA DE CONTROLES Y LLAVES'!G$6:G1000},2,FALSE),"")</f>
        <v/>
      </c>
      <c r="E485" s="13"/>
      <c r="F485" s="176"/>
      <c r="G485" s="176"/>
    </row>
    <row r="486">
      <c r="B486" s="192" t="str">
        <f t="shared" si="2"/>
        <v>228B</v>
      </c>
      <c r="C486" s="185" t="str">
        <f t="array" ref="C486">IFNA(VLOOKUP(B486,{'DATA DE CONTROLES Y LLAVES'!I$6:I1000,'DATA DE CONTROLES Y LLAVES'!F$6:F1000},2,FALSE),"")</f>
        <v/>
      </c>
      <c r="D486" s="185" t="str">
        <f t="array" ref="D486">IFNA(VLOOKUP(B486,{'DATA DE CONTROLES Y LLAVES'!I$6:I1000,'DATA DE CONTROLES Y LLAVES'!G$6:G1000},2,FALSE),"")</f>
        <v/>
      </c>
      <c r="E486" s="13"/>
      <c r="F486" s="176"/>
      <c r="G486" s="176"/>
    </row>
    <row r="487">
      <c r="B487" s="192" t="str">
        <f t="shared" si="2"/>
        <v>229B</v>
      </c>
      <c r="C487" s="185" t="str">
        <f t="array" ref="C487">IFNA(VLOOKUP(B487,{'DATA DE CONTROLES Y LLAVES'!I$6:I1000,'DATA DE CONTROLES Y LLAVES'!F$6:F1000},2,FALSE),"")</f>
        <v/>
      </c>
      <c r="D487" s="185" t="str">
        <f t="array" ref="D487">IFNA(VLOOKUP(B487,{'DATA DE CONTROLES Y LLAVES'!I$6:I1000,'DATA DE CONTROLES Y LLAVES'!G$6:G1000},2,FALSE),"")</f>
        <v/>
      </c>
      <c r="E487" s="13"/>
      <c r="F487" s="176"/>
      <c r="G487" s="176"/>
    </row>
    <row r="488">
      <c r="B488" s="192" t="str">
        <f t="shared" si="2"/>
        <v>230B</v>
      </c>
      <c r="C488" s="185" t="str">
        <f t="array" ref="C488">IFNA(VLOOKUP(B488,{'DATA DE CONTROLES Y LLAVES'!I$6:I1000,'DATA DE CONTROLES Y LLAVES'!F$6:F1000},2,FALSE),"")</f>
        <v/>
      </c>
      <c r="D488" s="185" t="str">
        <f t="array" ref="D488">IFNA(VLOOKUP(B488,{'DATA DE CONTROLES Y LLAVES'!I$6:I1000,'DATA DE CONTROLES Y LLAVES'!G$6:G1000},2,FALSE),"")</f>
        <v/>
      </c>
      <c r="E488" s="13"/>
      <c r="F488" s="176"/>
      <c r="G488" s="176"/>
    </row>
    <row r="489">
      <c r="B489" s="192" t="str">
        <f t="shared" si="2"/>
        <v>231B</v>
      </c>
      <c r="C489" s="185" t="str">
        <f t="array" ref="C489">IFNA(VLOOKUP(B489,{'DATA DE CONTROLES Y LLAVES'!I$6:I1000,'DATA DE CONTROLES Y LLAVES'!F$6:F1000},2,FALSE),"")</f>
        <v/>
      </c>
      <c r="D489" s="185" t="str">
        <f t="array" ref="D489">IFNA(VLOOKUP(B489,{'DATA DE CONTROLES Y LLAVES'!I$6:I1000,'DATA DE CONTROLES Y LLAVES'!G$6:G1000},2,FALSE),"")</f>
        <v/>
      </c>
      <c r="E489" s="13"/>
      <c r="F489" s="176"/>
      <c r="G489" s="176"/>
    </row>
    <row r="490">
      <c r="B490" s="192" t="str">
        <f t="shared" si="2"/>
        <v>232B</v>
      </c>
      <c r="C490" s="185" t="str">
        <f t="array" ref="C490">IFNA(VLOOKUP(B490,{'DATA DE CONTROLES Y LLAVES'!I$6:I1000,'DATA DE CONTROLES Y LLAVES'!F$6:F1000},2,FALSE),"")</f>
        <v/>
      </c>
      <c r="D490" s="185" t="str">
        <f t="array" ref="D490">IFNA(VLOOKUP(B490,{'DATA DE CONTROLES Y LLAVES'!I$6:I1000,'DATA DE CONTROLES Y LLAVES'!G$6:G1000},2,FALSE),"")</f>
        <v/>
      </c>
      <c r="E490" s="13"/>
      <c r="F490" s="176"/>
      <c r="G490" s="176"/>
    </row>
    <row r="491">
      <c r="B491" s="192" t="str">
        <f t="shared" si="2"/>
        <v>233B</v>
      </c>
      <c r="C491" s="185" t="str">
        <f t="array" ref="C491">IFNA(VLOOKUP(B491,{'DATA DE CONTROLES Y LLAVES'!I$6:I1000,'DATA DE CONTROLES Y LLAVES'!F$6:F1000},2,FALSE),"")</f>
        <v/>
      </c>
      <c r="D491" s="185" t="str">
        <f t="array" ref="D491">IFNA(VLOOKUP(B491,{'DATA DE CONTROLES Y LLAVES'!I$6:I1000,'DATA DE CONTROLES Y LLAVES'!G$6:G1000},2,FALSE),"")</f>
        <v/>
      </c>
      <c r="E491" s="13"/>
      <c r="F491" s="176"/>
      <c r="G491" s="176"/>
    </row>
    <row r="492">
      <c r="B492" s="192" t="str">
        <f t="shared" si="2"/>
        <v>234B</v>
      </c>
      <c r="C492" s="185" t="str">
        <f t="array" ref="C492">IFNA(VLOOKUP(B492,{'DATA DE CONTROLES Y LLAVES'!I$6:I1000,'DATA DE CONTROLES Y LLAVES'!F$6:F1000},2,FALSE),"")</f>
        <v/>
      </c>
      <c r="D492" s="185" t="str">
        <f t="array" ref="D492">IFNA(VLOOKUP(B492,{'DATA DE CONTROLES Y LLAVES'!I$6:I1000,'DATA DE CONTROLES Y LLAVES'!G$6:G1000},2,FALSE),"")</f>
        <v/>
      </c>
      <c r="E492" s="13"/>
      <c r="F492" s="176"/>
      <c r="G492" s="176"/>
    </row>
    <row r="493">
      <c r="B493" s="192" t="str">
        <f t="shared" si="2"/>
        <v>235B</v>
      </c>
      <c r="C493" s="185" t="str">
        <f t="array" ref="C493">IFNA(VLOOKUP(B493,{'DATA DE CONTROLES Y LLAVES'!I$6:I1000,'DATA DE CONTROLES Y LLAVES'!F$6:F1000},2,FALSE),"")</f>
        <v/>
      </c>
      <c r="D493" s="185" t="str">
        <f t="array" ref="D493">IFNA(VLOOKUP(B493,{'DATA DE CONTROLES Y LLAVES'!I$6:I1000,'DATA DE CONTROLES Y LLAVES'!G$6:G1000},2,FALSE),"")</f>
        <v/>
      </c>
      <c r="E493" s="13"/>
      <c r="F493" s="176"/>
      <c r="G493" s="176"/>
    </row>
    <row r="494">
      <c r="B494" s="192" t="str">
        <f t="shared" si="2"/>
        <v>236B</v>
      </c>
      <c r="C494" s="185" t="str">
        <f t="array" ref="C494">IFNA(VLOOKUP(B494,{'DATA DE CONTROLES Y LLAVES'!I$6:I1000,'DATA DE CONTROLES Y LLAVES'!F$6:F1000},2,FALSE),"")</f>
        <v/>
      </c>
      <c r="D494" s="185" t="str">
        <f t="array" ref="D494">IFNA(VLOOKUP(B494,{'DATA DE CONTROLES Y LLAVES'!I$6:I1000,'DATA DE CONTROLES Y LLAVES'!G$6:G1000},2,FALSE),"")</f>
        <v/>
      </c>
      <c r="E494" s="13"/>
      <c r="F494" s="176"/>
      <c r="G494" s="176"/>
    </row>
    <row r="495">
      <c r="B495" s="192" t="str">
        <f t="shared" si="2"/>
        <v>237B</v>
      </c>
      <c r="C495" s="185" t="str">
        <f t="array" ref="C495">IFNA(VLOOKUP(B495,{'DATA DE CONTROLES Y LLAVES'!I$6:I1000,'DATA DE CONTROLES Y LLAVES'!F$6:F1000},2,FALSE),"")</f>
        <v/>
      </c>
      <c r="D495" s="185" t="str">
        <f t="array" ref="D495">IFNA(VLOOKUP(B495,{'DATA DE CONTROLES Y LLAVES'!I$6:I1000,'DATA DE CONTROLES Y LLAVES'!G$6:G1000},2,FALSE),"")</f>
        <v/>
      </c>
      <c r="E495" s="13"/>
      <c r="F495" s="176"/>
      <c r="G495" s="176"/>
    </row>
    <row r="496">
      <c r="B496" s="192" t="str">
        <f t="shared" si="2"/>
        <v>238B</v>
      </c>
      <c r="C496" s="185" t="str">
        <f t="array" ref="C496">IFNA(VLOOKUP(B496,{'DATA DE CONTROLES Y LLAVES'!I$6:I1000,'DATA DE CONTROLES Y LLAVES'!F$6:F1000},2,FALSE),"")</f>
        <v/>
      </c>
      <c r="D496" s="185" t="str">
        <f t="array" ref="D496">IFNA(VLOOKUP(B496,{'DATA DE CONTROLES Y LLAVES'!I$6:I1000,'DATA DE CONTROLES Y LLAVES'!G$6:G1000},2,FALSE),"")</f>
        <v/>
      </c>
      <c r="E496" s="13"/>
      <c r="F496" s="176"/>
      <c r="G496" s="176"/>
    </row>
    <row r="497">
      <c r="B497" s="192" t="str">
        <f t="shared" si="2"/>
        <v>239B</v>
      </c>
      <c r="C497" s="185" t="str">
        <f t="array" ref="C497">IFNA(VLOOKUP(B497,{'DATA DE CONTROLES Y LLAVES'!I$6:I1000,'DATA DE CONTROLES Y LLAVES'!F$6:F1000},2,FALSE),"")</f>
        <v/>
      </c>
      <c r="D497" s="185" t="str">
        <f t="array" ref="D497">IFNA(VLOOKUP(B497,{'DATA DE CONTROLES Y LLAVES'!I$6:I1000,'DATA DE CONTROLES Y LLAVES'!G$6:G1000},2,FALSE),"")</f>
        <v/>
      </c>
      <c r="E497" s="13"/>
      <c r="F497" s="176"/>
      <c r="G497" s="176"/>
    </row>
    <row r="498">
      <c r="B498" s="192" t="str">
        <f t="shared" si="2"/>
        <v>240B</v>
      </c>
      <c r="C498" s="185" t="str">
        <f t="array" ref="C498">IFNA(VLOOKUP(B498,{'DATA DE CONTROLES Y LLAVES'!I$6:I1000,'DATA DE CONTROLES Y LLAVES'!F$6:F1000},2,FALSE),"")</f>
        <v/>
      </c>
      <c r="D498" s="185" t="str">
        <f t="array" ref="D498">IFNA(VLOOKUP(B498,{'DATA DE CONTROLES Y LLAVES'!I$6:I1000,'DATA DE CONTROLES Y LLAVES'!G$6:G1000},2,FALSE),"")</f>
        <v/>
      </c>
      <c r="E498" s="13"/>
      <c r="F498" s="176"/>
      <c r="G498" s="176"/>
    </row>
    <row r="499">
      <c r="B499" s="192" t="str">
        <f t="shared" si="2"/>
        <v>241B</v>
      </c>
      <c r="C499" s="185" t="str">
        <f t="array" ref="C499">IFNA(VLOOKUP(B499,{'DATA DE CONTROLES Y LLAVES'!I$6:I1000,'DATA DE CONTROLES Y LLAVES'!F$6:F1000},2,FALSE),"")</f>
        <v/>
      </c>
      <c r="D499" s="185" t="str">
        <f t="array" ref="D499">IFNA(VLOOKUP(B499,{'DATA DE CONTROLES Y LLAVES'!I$6:I1000,'DATA DE CONTROLES Y LLAVES'!G$6:G1000},2,FALSE),"")</f>
        <v/>
      </c>
      <c r="E499" s="13"/>
      <c r="F499" s="176"/>
      <c r="G499" s="176"/>
    </row>
    <row r="500">
      <c r="B500" s="192" t="str">
        <f t="shared" si="2"/>
        <v>242B</v>
      </c>
      <c r="C500" s="185" t="str">
        <f t="array" ref="C500">IFNA(VLOOKUP(B500,{'DATA DE CONTROLES Y LLAVES'!I$6:I1000,'DATA DE CONTROLES Y LLAVES'!F$6:F1000},2,FALSE),"")</f>
        <v/>
      </c>
      <c r="D500" s="185" t="str">
        <f t="array" ref="D500">IFNA(VLOOKUP(B500,{'DATA DE CONTROLES Y LLAVES'!I$6:I1000,'DATA DE CONTROLES Y LLAVES'!G$6:G1000},2,FALSE),"")</f>
        <v/>
      </c>
      <c r="E500" s="13"/>
      <c r="F500" s="176"/>
      <c r="G500" s="176"/>
    </row>
    <row r="501">
      <c r="B501" s="192" t="str">
        <f t="shared" si="2"/>
        <v>243B</v>
      </c>
      <c r="C501" s="185" t="str">
        <f t="array" ref="C501">IFNA(VLOOKUP(B501,{'DATA DE CONTROLES Y LLAVES'!I$6:I1000,'DATA DE CONTROLES Y LLAVES'!F$6:F1000},2,FALSE),"")</f>
        <v/>
      </c>
      <c r="D501" s="185" t="str">
        <f t="array" ref="D501">IFNA(VLOOKUP(B501,{'DATA DE CONTROLES Y LLAVES'!I$6:I1000,'DATA DE CONTROLES Y LLAVES'!G$6:G1000},2,FALSE),"")</f>
        <v/>
      </c>
      <c r="E501" s="13"/>
      <c r="F501" s="176"/>
      <c r="G501" s="176"/>
    </row>
    <row r="502">
      <c r="B502" s="192" t="str">
        <f t="shared" si="2"/>
        <v>244B</v>
      </c>
      <c r="C502" s="185" t="str">
        <f t="array" ref="C502">IFNA(VLOOKUP(B502,{'DATA DE CONTROLES Y LLAVES'!I$6:I1000,'DATA DE CONTROLES Y LLAVES'!F$6:F1000},2,FALSE),"")</f>
        <v/>
      </c>
      <c r="D502" s="185" t="str">
        <f t="array" ref="D502">IFNA(VLOOKUP(B502,{'DATA DE CONTROLES Y LLAVES'!I$6:I1000,'DATA DE CONTROLES Y LLAVES'!G$6:G1000},2,FALSE),"")</f>
        <v/>
      </c>
      <c r="E502" s="13"/>
      <c r="F502" s="176"/>
      <c r="G502" s="176"/>
    </row>
    <row r="503">
      <c r="B503" s="192" t="str">
        <f t="shared" si="2"/>
        <v>245B</v>
      </c>
      <c r="C503" s="185" t="str">
        <f t="array" ref="C503">IFNA(VLOOKUP(B503,{'DATA DE CONTROLES Y LLAVES'!I$6:I1000,'DATA DE CONTROLES Y LLAVES'!F$6:F1000},2,FALSE),"")</f>
        <v/>
      </c>
      <c r="D503" s="185" t="str">
        <f t="array" ref="D503">IFNA(VLOOKUP(B503,{'DATA DE CONTROLES Y LLAVES'!I$6:I1000,'DATA DE CONTROLES Y LLAVES'!G$6:G1000},2,FALSE),"")</f>
        <v/>
      </c>
      <c r="E503" s="13"/>
      <c r="F503" s="176"/>
      <c r="G503" s="176"/>
    </row>
    <row r="504">
      <c r="B504" s="192" t="str">
        <f t="shared" si="2"/>
        <v>246B</v>
      </c>
      <c r="C504" s="185" t="str">
        <f t="array" ref="C504">IFNA(VLOOKUP(B504,{'DATA DE CONTROLES Y LLAVES'!I$6:I1000,'DATA DE CONTROLES Y LLAVES'!F$6:F1000},2,FALSE),"")</f>
        <v/>
      </c>
      <c r="D504" s="185" t="str">
        <f t="array" ref="D504">IFNA(VLOOKUP(B504,{'DATA DE CONTROLES Y LLAVES'!I$6:I1000,'DATA DE CONTROLES Y LLAVES'!G$6:G1000},2,FALSE),"")</f>
        <v/>
      </c>
      <c r="E504" s="13"/>
      <c r="F504" s="176"/>
      <c r="G504" s="176"/>
    </row>
    <row r="505">
      <c r="B505" s="192" t="str">
        <f t="shared" si="2"/>
        <v>247B</v>
      </c>
      <c r="C505" s="185" t="str">
        <f t="array" ref="C505">IFNA(VLOOKUP(B505,{'DATA DE CONTROLES Y LLAVES'!I$6:I1000,'DATA DE CONTROLES Y LLAVES'!F$6:F1000},2,FALSE),"")</f>
        <v/>
      </c>
      <c r="D505" s="185" t="str">
        <f t="array" ref="D505">IFNA(VLOOKUP(B505,{'DATA DE CONTROLES Y LLAVES'!I$6:I1000,'DATA DE CONTROLES Y LLAVES'!G$6:G1000},2,FALSE),"")</f>
        <v/>
      </c>
      <c r="E505" s="13"/>
      <c r="F505" s="176"/>
      <c r="G505" s="176"/>
    </row>
    <row r="506">
      <c r="B506" s="192" t="str">
        <f t="shared" si="2"/>
        <v>248B</v>
      </c>
      <c r="C506" s="185" t="str">
        <f t="array" ref="C506">IFNA(VLOOKUP(B506,{'DATA DE CONTROLES Y LLAVES'!I$6:I1000,'DATA DE CONTROLES Y LLAVES'!F$6:F1000},2,FALSE),"")</f>
        <v/>
      </c>
      <c r="D506" s="185" t="str">
        <f t="array" ref="D506">IFNA(VLOOKUP(B506,{'DATA DE CONTROLES Y LLAVES'!I$6:I1000,'DATA DE CONTROLES Y LLAVES'!G$6:G1000},2,FALSE),"")</f>
        <v/>
      </c>
      <c r="E506" s="13"/>
      <c r="F506" s="176"/>
      <c r="G506" s="176"/>
    </row>
    <row r="507">
      <c r="B507" s="192" t="str">
        <f t="shared" si="2"/>
        <v>249B</v>
      </c>
      <c r="C507" s="185" t="str">
        <f t="array" ref="C507">IFNA(VLOOKUP(B507,{'DATA DE CONTROLES Y LLAVES'!I$6:I1000,'DATA DE CONTROLES Y LLAVES'!F$6:F1000},2,FALSE),"")</f>
        <v/>
      </c>
      <c r="D507" s="185" t="str">
        <f t="array" ref="D507">IFNA(VLOOKUP(B507,{'DATA DE CONTROLES Y LLAVES'!I$6:I1000,'DATA DE CONTROLES Y LLAVES'!G$6:G1000},2,FALSE),"")</f>
        <v/>
      </c>
      <c r="E507" s="13"/>
      <c r="F507" s="176"/>
      <c r="G507" s="176"/>
    </row>
    <row r="508">
      <c r="B508" s="192" t="str">
        <f t="shared" si="2"/>
        <v>250B</v>
      </c>
      <c r="C508" s="185" t="str">
        <f t="array" ref="C508">IFNA(VLOOKUP(B508,{'DATA DE CONTROLES Y LLAVES'!I$6:I1000,'DATA DE CONTROLES Y LLAVES'!F$6:F1000},2,FALSE),"")</f>
        <v/>
      </c>
      <c r="D508" s="185" t="str">
        <f t="array" ref="D508">IFNA(VLOOKUP(B508,{'DATA DE CONTROLES Y LLAVES'!I$6:I1000,'DATA DE CONTROLES Y LLAVES'!G$6:G1000},2,FALSE),"")</f>
        <v/>
      </c>
      <c r="E508" s="13"/>
      <c r="F508" s="176"/>
      <c r="G508" s="176"/>
    </row>
    <row r="509">
      <c r="F509" s="176"/>
      <c r="G509" s="176"/>
    </row>
    <row r="510">
      <c r="F510" s="176"/>
      <c r="G510" s="176"/>
    </row>
    <row r="511">
      <c r="F511" s="176"/>
      <c r="G511" s="176"/>
    </row>
    <row r="512">
      <c r="F512" s="176"/>
      <c r="G512" s="176"/>
    </row>
    <row r="513">
      <c r="F513" s="176"/>
      <c r="G513" s="176"/>
    </row>
    <row r="514">
      <c r="F514" s="176"/>
      <c r="G514" s="176"/>
    </row>
    <row r="515">
      <c r="F515" s="176"/>
      <c r="G515" s="176"/>
    </row>
    <row r="516">
      <c r="F516" s="176"/>
      <c r="G516" s="176"/>
    </row>
    <row r="517">
      <c r="F517" s="176"/>
      <c r="G517" s="176"/>
    </row>
    <row r="518">
      <c r="F518" s="176"/>
      <c r="G518" s="176"/>
    </row>
    <row r="519">
      <c r="F519" s="176"/>
      <c r="G519" s="176"/>
    </row>
    <row r="520">
      <c r="F520" s="176"/>
      <c r="G520" s="176"/>
    </row>
    <row r="521">
      <c r="F521" s="176"/>
      <c r="G521" s="176"/>
    </row>
    <row r="522">
      <c r="F522" s="176"/>
      <c r="G522" s="176"/>
    </row>
    <row r="523">
      <c r="F523" s="176"/>
      <c r="G523" s="176"/>
    </row>
    <row r="524">
      <c r="F524" s="176"/>
      <c r="G524" s="176"/>
    </row>
    <row r="525">
      <c r="F525" s="176"/>
      <c r="G525" s="176"/>
    </row>
    <row r="526">
      <c r="F526" s="176"/>
      <c r="G526" s="176"/>
    </row>
    <row r="527">
      <c r="F527" s="176"/>
      <c r="G527" s="176"/>
    </row>
    <row r="528">
      <c r="F528" s="176"/>
      <c r="G528" s="176"/>
    </row>
    <row r="529">
      <c r="F529" s="176"/>
      <c r="G529" s="176"/>
    </row>
    <row r="530">
      <c r="F530" s="176"/>
      <c r="G530" s="176"/>
    </row>
    <row r="531">
      <c r="F531" s="176"/>
      <c r="G531" s="176"/>
    </row>
    <row r="532">
      <c r="F532" s="176"/>
      <c r="G532" s="176"/>
    </row>
    <row r="533">
      <c r="F533" s="176"/>
      <c r="G533" s="176"/>
    </row>
    <row r="534">
      <c r="F534" s="176"/>
      <c r="G534" s="176"/>
    </row>
    <row r="535">
      <c r="F535" s="176"/>
      <c r="G535" s="176"/>
    </row>
    <row r="536">
      <c r="F536" s="176"/>
      <c r="G536" s="176"/>
    </row>
    <row r="537">
      <c r="F537" s="176"/>
      <c r="G537" s="176"/>
    </row>
    <row r="538">
      <c r="F538" s="176"/>
      <c r="G538" s="176"/>
    </row>
    <row r="539">
      <c r="F539" s="176"/>
      <c r="G539" s="176"/>
    </row>
    <row r="540">
      <c r="F540" s="176"/>
      <c r="G540" s="176"/>
    </row>
    <row r="541">
      <c r="F541" s="176"/>
      <c r="G541" s="176"/>
    </row>
    <row r="542">
      <c r="F542" s="176"/>
      <c r="G542" s="176"/>
    </row>
    <row r="543">
      <c r="F543" s="176"/>
      <c r="G543" s="176"/>
    </row>
    <row r="544">
      <c r="F544" s="176"/>
      <c r="G544" s="176"/>
    </row>
    <row r="545">
      <c r="F545" s="176"/>
      <c r="G545" s="176"/>
    </row>
    <row r="546">
      <c r="F546" s="176"/>
      <c r="G546" s="176"/>
    </row>
    <row r="547">
      <c r="F547" s="176"/>
      <c r="G547" s="176"/>
    </row>
    <row r="548">
      <c r="F548" s="176"/>
      <c r="G548" s="176"/>
    </row>
    <row r="549">
      <c r="F549" s="176"/>
      <c r="G549" s="176"/>
    </row>
    <row r="550">
      <c r="F550" s="176"/>
      <c r="G550" s="176"/>
    </row>
    <row r="551">
      <c r="F551" s="176"/>
      <c r="G551" s="176"/>
    </row>
    <row r="552">
      <c r="F552" s="176"/>
      <c r="G552" s="176"/>
    </row>
    <row r="553">
      <c r="F553" s="176"/>
      <c r="G553" s="176"/>
    </row>
    <row r="554">
      <c r="F554" s="176"/>
      <c r="G554" s="176"/>
    </row>
    <row r="555">
      <c r="F555" s="176"/>
      <c r="G555" s="176"/>
    </row>
    <row r="556">
      <c r="F556" s="176"/>
      <c r="G556" s="176"/>
    </row>
    <row r="557">
      <c r="F557" s="176"/>
      <c r="G557" s="176"/>
    </row>
    <row r="558">
      <c r="F558" s="176"/>
      <c r="G558" s="176"/>
    </row>
    <row r="559">
      <c r="F559" s="176"/>
      <c r="G559" s="176"/>
    </row>
    <row r="560">
      <c r="F560" s="176"/>
      <c r="G560" s="176"/>
    </row>
    <row r="561">
      <c r="F561" s="176"/>
      <c r="G561" s="176"/>
    </row>
    <row r="562">
      <c r="F562" s="176"/>
      <c r="G562" s="176"/>
    </row>
    <row r="563">
      <c r="F563" s="176"/>
      <c r="G563" s="176"/>
    </row>
    <row r="564">
      <c r="F564" s="176"/>
      <c r="G564" s="176"/>
    </row>
    <row r="565">
      <c r="F565" s="176"/>
      <c r="G565" s="176"/>
    </row>
    <row r="566">
      <c r="F566" s="176"/>
      <c r="G566" s="176"/>
    </row>
    <row r="567">
      <c r="F567" s="176"/>
      <c r="G567" s="176"/>
    </row>
    <row r="568">
      <c r="F568" s="176"/>
      <c r="G568" s="176"/>
    </row>
    <row r="569">
      <c r="F569" s="176"/>
      <c r="G569" s="176"/>
    </row>
    <row r="570">
      <c r="F570" s="176"/>
      <c r="G570" s="176"/>
    </row>
    <row r="571">
      <c r="F571" s="176"/>
      <c r="G571" s="176"/>
    </row>
    <row r="572">
      <c r="F572" s="176"/>
      <c r="G572" s="176"/>
    </row>
    <row r="573">
      <c r="F573" s="176"/>
      <c r="G573" s="176"/>
    </row>
    <row r="574">
      <c r="F574" s="176"/>
      <c r="G574" s="176"/>
    </row>
    <row r="575">
      <c r="F575" s="176"/>
      <c r="G575" s="176"/>
    </row>
    <row r="576">
      <c r="F576" s="176"/>
      <c r="G576" s="176"/>
    </row>
    <row r="577">
      <c r="F577" s="176"/>
      <c r="G577" s="176"/>
    </row>
    <row r="578">
      <c r="F578" s="176"/>
      <c r="G578" s="176"/>
    </row>
    <row r="579">
      <c r="F579" s="176"/>
      <c r="G579" s="176"/>
    </row>
    <row r="580">
      <c r="F580" s="176"/>
      <c r="G580" s="176"/>
    </row>
    <row r="581">
      <c r="F581" s="176"/>
      <c r="G581" s="176"/>
    </row>
    <row r="582">
      <c r="F582" s="176"/>
      <c r="G582" s="176"/>
    </row>
    <row r="583">
      <c r="F583" s="176"/>
      <c r="G583" s="176"/>
    </row>
    <row r="584">
      <c r="F584" s="176"/>
      <c r="G584" s="176"/>
    </row>
    <row r="585">
      <c r="F585" s="176"/>
      <c r="G585" s="176"/>
    </row>
    <row r="586">
      <c r="F586" s="176"/>
      <c r="G586" s="176"/>
    </row>
    <row r="587">
      <c r="F587" s="176"/>
      <c r="G587" s="176"/>
    </row>
    <row r="588">
      <c r="F588" s="176"/>
      <c r="G588" s="176"/>
    </row>
    <row r="589">
      <c r="F589" s="176"/>
      <c r="G589" s="176"/>
    </row>
    <row r="590">
      <c r="F590" s="176"/>
      <c r="G590" s="176"/>
    </row>
    <row r="591">
      <c r="F591" s="176"/>
      <c r="G591" s="176"/>
    </row>
    <row r="592">
      <c r="F592" s="176"/>
      <c r="G592" s="176"/>
    </row>
    <row r="593">
      <c r="F593" s="176"/>
      <c r="G593" s="176"/>
    </row>
    <row r="594">
      <c r="F594" s="176"/>
      <c r="G594" s="176"/>
    </row>
    <row r="595">
      <c r="F595" s="176"/>
      <c r="G595" s="176"/>
    </row>
    <row r="596">
      <c r="F596" s="176"/>
      <c r="G596" s="176"/>
    </row>
    <row r="597">
      <c r="F597" s="176"/>
      <c r="G597" s="176"/>
    </row>
    <row r="598">
      <c r="F598" s="176"/>
      <c r="G598" s="176"/>
    </row>
    <row r="599">
      <c r="F599" s="176"/>
      <c r="G599" s="176"/>
    </row>
    <row r="600">
      <c r="F600" s="176"/>
      <c r="G600" s="176"/>
    </row>
    <row r="601">
      <c r="F601" s="176"/>
      <c r="G601" s="176"/>
    </row>
    <row r="602">
      <c r="F602" s="176"/>
      <c r="G602" s="176"/>
    </row>
    <row r="603">
      <c r="F603" s="176"/>
      <c r="G603" s="176"/>
    </row>
    <row r="604">
      <c r="F604" s="176"/>
      <c r="G604" s="176"/>
    </row>
    <row r="605">
      <c r="F605" s="176"/>
      <c r="G605" s="176"/>
    </row>
    <row r="606">
      <c r="F606" s="176"/>
      <c r="G606" s="176"/>
    </row>
    <row r="607">
      <c r="F607" s="176"/>
      <c r="G607" s="176"/>
    </row>
    <row r="608">
      <c r="F608" s="176"/>
      <c r="G608" s="176"/>
    </row>
    <row r="609">
      <c r="F609" s="176"/>
      <c r="G609" s="176"/>
    </row>
    <row r="610">
      <c r="F610" s="176"/>
      <c r="G610" s="176"/>
    </row>
    <row r="611">
      <c r="F611" s="176"/>
      <c r="G611" s="176"/>
    </row>
    <row r="612">
      <c r="F612" s="176"/>
      <c r="G612" s="176"/>
    </row>
    <row r="613">
      <c r="F613" s="176"/>
      <c r="G613" s="176"/>
    </row>
    <row r="614">
      <c r="F614" s="176"/>
      <c r="G614" s="176"/>
    </row>
    <row r="615">
      <c r="F615" s="176"/>
      <c r="G615" s="176"/>
    </row>
    <row r="616">
      <c r="F616" s="176"/>
      <c r="G616" s="176"/>
    </row>
    <row r="617">
      <c r="F617" s="176"/>
      <c r="G617" s="176"/>
    </row>
    <row r="618">
      <c r="F618" s="176"/>
      <c r="G618" s="176"/>
    </row>
    <row r="619">
      <c r="F619" s="176"/>
      <c r="G619" s="176"/>
    </row>
    <row r="620">
      <c r="F620" s="176"/>
      <c r="G620" s="176"/>
    </row>
    <row r="621">
      <c r="F621" s="176"/>
      <c r="G621" s="176"/>
    </row>
    <row r="622">
      <c r="F622" s="176"/>
      <c r="G622" s="176"/>
    </row>
    <row r="623">
      <c r="F623" s="176"/>
      <c r="G623" s="176"/>
    </row>
    <row r="624">
      <c r="F624" s="176"/>
      <c r="G624" s="176"/>
    </row>
    <row r="625">
      <c r="F625" s="176"/>
      <c r="G625" s="176"/>
    </row>
    <row r="626">
      <c r="F626" s="176"/>
      <c r="G626" s="176"/>
    </row>
    <row r="627">
      <c r="F627" s="176"/>
      <c r="G627" s="176"/>
    </row>
    <row r="628">
      <c r="F628" s="176"/>
      <c r="G628" s="176"/>
    </row>
    <row r="629">
      <c r="F629" s="176"/>
      <c r="G629" s="176"/>
    </row>
    <row r="630">
      <c r="F630" s="176"/>
      <c r="G630" s="176"/>
    </row>
    <row r="631">
      <c r="F631" s="176"/>
      <c r="G631" s="176"/>
    </row>
    <row r="632">
      <c r="F632" s="176"/>
      <c r="G632" s="176"/>
    </row>
    <row r="633">
      <c r="F633" s="176"/>
      <c r="G633" s="176"/>
    </row>
    <row r="634">
      <c r="F634" s="176"/>
      <c r="G634" s="176"/>
    </row>
    <row r="635">
      <c r="F635" s="176"/>
      <c r="G635" s="176"/>
    </row>
    <row r="636">
      <c r="F636" s="176"/>
      <c r="G636" s="176"/>
    </row>
    <row r="637">
      <c r="F637" s="176"/>
      <c r="G637" s="176"/>
    </row>
    <row r="638">
      <c r="F638" s="176"/>
      <c r="G638" s="176"/>
    </row>
    <row r="639">
      <c r="F639" s="176"/>
      <c r="G639" s="176"/>
    </row>
    <row r="640">
      <c r="F640" s="176"/>
      <c r="G640" s="176"/>
    </row>
    <row r="641">
      <c r="F641" s="176"/>
      <c r="G641" s="176"/>
    </row>
    <row r="642">
      <c r="F642" s="176"/>
      <c r="G642" s="176"/>
    </row>
    <row r="643">
      <c r="F643" s="176"/>
      <c r="G643" s="176"/>
    </row>
    <row r="644">
      <c r="F644" s="176"/>
      <c r="G644" s="176"/>
    </row>
    <row r="645">
      <c r="F645" s="176"/>
      <c r="G645" s="176"/>
    </row>
    <row r="646">
      <c r="F646" s="176"/>
      <c r="G646" s="176"/>
    </row>
    <row r="647">
      <c r="F647" s="176"/>
      <c r="G647" s="176"/>
    </row>
    <row r="648">
      <c r="F648" s="176"/>
      <c r="G648" s="176"/>
    </row>
    <row r="649">
      <c r="F649" s="176"/>
      <c r="G649" s="176"/>
    </row>
    <row r="650">
      <c r="F650" s="176"/>
      <c r="G650" s="176"/>
    </row>
    <row r="651">
      <c r="F651" s="176"/>
      <c r="G651" s="176"/>
    </row>
    <row r="652">
      <c r="F652" s="176"/>
      <c r="G652" s="176"/>
    </row>
    <row r="653">
      <c r="F653" s="176"/>
      <c r="G653" s="176"/>
    </row>
    <row r="654">
      <c r="F654" s="176"/>
      <c r="G654" s="176"/>
    </row>
    <row r="655">
      <c r="F655" s="176"/>
      <c r="G655" s="176"/>
    </row>
    <row r="656">
      <c r="F656" s="176"/>
      <c r="G656" s="176"/>
    </row>
    <row r="657">
      <c r="F657" s="176"/>
      <c r="G657" s="176"/>
    </row>
    <row r="658">
      <c r="F658" s="176"/>
      <c r="G658" s="176"/>
    </row>
    <row r="659">
      <c r="F659" s="176"/>
      <c r="G659" s="176"/>
    </row>
    <row r="660">
      <c r="F660" s="176"/>
      <c r="G660" s="176"/>
    </row>
    <row r="661">
      <c r="F661" s="176"/>
      <c r="G661" s="176"/>
    </row>
    <row r="662">
      <c r="F662" s="176"/>
      <c r="G662" s="176"/>
    </row>
    <row r="663">
      <c r="F663" s="176"/>
      <c r="G663" s="176"/>
    </row>
    <row r="664">
      <c r="F664" s="176"/>
      <c r="G664" s="176"/>
    </row>
    <row r="665">
      <c r="F665" s="176"/>
      <c r="G665" s="176"/>
    </row>
    <row r="666">
      <c r="F666" s="176"/>
      <c r="G666" s="176"/>
    </row>
    <row r="667">
      <c r="F667" s="176"/>
      <c r="G667" s="176"/>
    </row>
    <row r="668">
      <c r="F668" s="176"/>
      <c r="G668" s="176"/>
    </row>
    <row r="669">
      <c r="F669" s="176"/>
      <c r="G669" s="176"/>
    </row>
    <row r="670">
      <c r="F670" s="176"/>
      <c r="G670" s="176"/>
    </row>
    <row r="671">
      <c r="F671" s="176"/>
      <c r="G671" s="176"/>
    </row>
    <row r="672">
      <c r="F672" s="176"/>
      <c r="G672" s="176"/>
    </row>
    <row r="673">
      <c r="F673" s="176"/>
      <c r="G673" s="176"/>
    </row>
    <row r="674">
      <c r="F674" s="176"/>
      <c r="G674" s="176"/>
    </row>
    <row r="675">
      <c r="F675" s="176"/>
      <c r="G675" s="176"/>
    </row>
    <row r="676">
      <c r="F676" s="176"/>
      <c r="G676" s="176"/>
    </row>
    <row r="677">
      <c r="F677" s="176"/>
      <c r="G677" s="176"/>
    </row>
    <row r="678">
      <c r="F678" s="176"/>
      <c r="G678" s="176"/>
    </row>
    <row r="679">
      <c r="F679" s="176"/>
      <c r="G679" s="176"/>
    </row>
    <row r="680">
      <c r="F680" s="176"/>
      <c r="G680" s="176"/>
    </row>
    <row r="681">
      <c r="F681" s="176"/>
      <c r="G681" s="176"/>
    </row>
    <row r="682">
      <c r="F682" s="176"/>
      <c r="G682" s="176"/>
    </row>
    <row r="683">
      <c r="F683" s="176"/>
      <c r="G683" s="176"/>
    </row>
    <row r="684">
      <c r="F684" s="176"/>
      <c r="G684" s="176"/>
    </row>
    <row r="685">
      <c r="F685" s="176"/>
      <c r="G685" s="176"/>
    </row>
    <row r="686">
      <c r="F686" s="176"/>
      <c r="G686" s="176"/>
    </row>
    <row r="687">
      <c r="F687" s="176"/>
      <c r="G687" s="176"/>
    </row>
    <row r="688">
      <c r="F688" s="176"/>
      <c r="G688" s="176"/>
    </row>
    <row r="689">
      <c r="F689" s="176"/>
      <c r="G689" s="176"/>
    </row>
    <row r="690">
      <c r="F690" s="176"/>
      <c r="G690" s="176"/>
    </row>
    <row r="691">
      <c r="F691" s="176"/>
      <c r="G691" s="176"/>
    </row>
    <row r="692">
      <c r="F692" s="176"/>
      <c r="G692" s="176"/>
    </row>
    <row r="693">
      <c r="F693" s="176"/>
      <c r="G693" s="176"/>
    </row>
    <row r="694">
      <c r="F694" s="176"/>
      <c r="G694" s="176"/>
    </row>
    <row r="695">
      <c r="F695" s="176"/>
      <c r="G695" s="176"/>
    </row>
    <row r="696">
      <c r="F696" s="176"/>
      <c r="G696" s="176"/>
    </row>
    <row r="697">
      <c r="F697" s="176"/>
      <c r="G697" s="176"/>
    </row>
    <row r="698">
      <c r="F698" s="176"/>
      <c r="G698" s="176"/>
    </row>
    <row r="699">
      <c r="F699" s="176"/>
      <c r="G699" s="176"/>
    </row>
    <row r="700">
      <c r="F700" s="176"/>
      <c r="G700" s="176"/>
    </row>
    <row r="701">
      <c r="F701" s="176"/>
      <c r="G701" s="176"/>
    </row>
    <row r="702">
      <c r="F702" s="176"/>
      <c r="G702" s="176"/>
    </row>
    <row r="703">
      <c r="F703" s="176"/>
      <c r="G703" s="176"/>
    </row>
    <row r="704">
      <c r="F704" s="176"/>
      <c r="G704" s="176"/>
    </row>
    <row r="705">
      <c r="F705" s="176"/>
      <c r="G705" s="176"/>
    </row>
    <row r="706">
      <c r="F706" s="176"/>
      <c r="G706" s="176"/>
    </row>
    <row r="707">
      <c r="F707" s="176"/>
      <c r="G707" s="176"/>
    </row>
    <row r="708">
      <c r="F708" s="176"/>
      <c r="G708" s="176"/>
    </row>
    <row r="709">
      <c r="F709" s="176"/>
      <c r="G709" s="176"/>
    </row>
    <row r="710">
      <c r="F710" s="176"/>
      <c r="G710" s="176"/>
    </row>
    <row r="711">
      <c r="F711" s="176"/>
      <c r="G711" s="176"/>
    </row>
    <row r="712">
      <c r="F712" s="176"/>
      <c r="G712" s="176"/>
    </row>
    <row r="713">
      <c r="F713" s="176"/>
      <c r="G713" s="176"/>
    </row>
    <row r="714">
      <c r="F714" s="176"/>
      <c r="G714" s="176"/>
    </row>
    <row r="715">
      <c r="F715" s="176"/>
      <c r="G715" s="176"/>
    </row>
    <row r="716">
      <c r="F716" s="176"/>
      <c r="G716" s="176"/>
    </row>
    <row r="717">
      <c r="F717" s="176"/>
      <c r="G717" s="176"/>
    </row>
    <row r="718">
      <c r="F718" s="176"/>
      <c r="G718" s="176"/>
    </row>
    <row r="719">
      <c r="F719" s="176"/>
      <c r="G719" s="176"/>
    </row>
    <row r="720">
      <c r="F720" s="176"/>
      <c r="G720" s="176"/>
    </row>
    <row r="721">
      <c r="F721" s="176"/>
      <c r="G721" s="176"/>
    </row>
    <row r="722">
      <c r="F722" s="176"/>
      <c r="G722" s="176"/>
    </row>
    <row r="723">
      <c r="F723" s="176"/>
      <c r="G723" s="176"/>
    </row>
    <row r="724">
      <c r="F724" s="176"/>
      <c r="G724" s="176"/>
    </row>
    <row r="725">
      <c r="F725" s="176"/>
      <c r="G725" s="176"/>
    </row>
    <row r="726">
      <c r="F726" s="176"/>
      <c r="G726" s="176"/>
    </row>
    <row r="727">
      <c r="F727" s="176"/>
      <c r="G727" s="176"/>
    </row>
    <row r="728">
      <c r="F728" s="176"/>
      <c r="G728" s="176"/>
    </row>
    <row r="729">
      <c r="F729" s="176"/>
      <c r="G729" s="176"/>
    </row>
    <row r="730">
      <c r="F730" s="176"/>
      <c r="G730" s="176"/>
    </row>
    <row r="731">
      <c r="F731" s="176"/>
      <c r="G731" s="176"/>
    </row>
    <row r="732">
      <c r="F732" s="176"/>
      <c r="G732" s="176"/>
    </row>
    <row r="733">
      <c r="F733" s="176"/>
      <c r="G733" s="176"/>
    </row>
    <row r="734">
      <c r="F734" s="176"/>
      <c r="G734" s="176"/>
    </row>
    <row r="735">
      <c r="F735" s="176"/>
      <c r="G735" s="176"/>
    </row>
    <row r="736">
      <c r="F736" s="176"/>
      <c r="G736" s="176"/>
    </row>
    <row r="737">
      <c r="F737" s="176"/>
      <c r="G737" s="176"/>
    </row>
    <row r="738">
      <c r="F738" s="176"/>
      <c r="G738" s="176"/>
    </row>
    <row r="739">
      <c r="F739" s="176"/>
      <c r="G739" s="176"/>
    </row>
    <row r="740">
      <c r="F740" s="176"/>
      <c r="G740" s="176"/>
    </row>
    <row r="741">
      <c r="F741" s="176"/>
      <c r="G741" s="176"/>
    </row>
    <row r="742">
      <c r="F742" s="176"/>
      <c r="G742" s="176"/>
    </row>
    <row r="743">
      <c r="F743" s="176"/>
      <c r="G743" s="176"/>
    </row>
    <row r="744">
      <c r="F744" s="176"/>
      <c r="G744" s="176"/>
    </row>
    <row r="745">
      <c r="F745" s="176"/>
      <c r="G745" s="176"/>
    </row>
    <row r="746">
      <c r="F746" s="176"/>
      <c r="G746" s="176"/>
    </row>
    <row r="747">
      <c r="F747" s="176"/>
      <c r="G747" s="176"/>
    </row>
    <row r="748">
      <c r="F748" s="176"/>
      <c r="G748" s="176"/>
    </row>
    <row r="749">
      <c r="F749" s="176"/>
      <c r="G749" s="176"/>
    </row>
    <row r="750">
      <c r="F750" s="176"/>
      <c r="G750" s="176"/>
    </row>
    <row r="751">
      <c r="F751" s="176"/>
      <c r="G751" s="176"/>
    </row>
    <row r="752">
      <c r="F752" s="176"/>
      <c r="G752" s="176"/>
    </row>
    <row r="753">
      <c r="F753" s="176"/>
      <c r="G753" s="176"/>
    </row>
    <row r="754">
      <c r="F754" s="176"/>
      <c r="G754" s="176"/>
    </row>
    <row r="755">
      <c r="F755" s="176"/>
      <c r="G755" s="176"/>
    </row>
    <row r="756">
      <c r="F756" s="176"/>
      <c r="G756" s="176"/>
    </row>
    <row r="757">
      <c r="F757" s="176"/>
      <c r="G757" s="176"/>
    </row>
    <row r="758">
      <c r="F758" s="176"/>
      <c r="G758" s="176"/>
    </row>
    <row r="759">
      <c r="F759" s="176"/>
      <c r="G759" s="176"/>
    </row>
    <row r="760">
      <c r="F760" s="176"/>
      <c r="G760" s="176"/>
    </row>
    <row r="761">
      <c r="F761" s="176"/>
      <c r="G761" s="176"/>
    </row>
    <row r="762">
      <c r="F762" s="176"/>
      <c r="G762" s="176"/>
    </row>
    <row r="763">
      <c r="F763" s="176"/>
      <c r="G763" s="176"/>
    </row>
    <row r="764">
      <c r="F764" s="176"/>
      <c r="G764" s="176"/>
    </row>
    <row r="765">
      <c r="F765" s="176"/>
      <c r="G765" s="176"/>
    </row>
    <row r="766">
      <c r="F766" s="176"/>
      <c r="G766" s="176"/>
    </row>
    <row r="767">
      <c r="F767" s="176"/>
      <c r="G767" s="176"/>
    </row>
    <row r="768">
      <c r="F768" s="176"/>
      <c r="G768" s="176"/>
    </row>
    <row r="769">
      <c r="F769" s="176"/>
      <c r="G769" s="176"/>
    </row>
    <row r="770">
      <c r="F770" s="176"/>
      <c r="G770" s="176"/>
    </row>
    <row r="771">
      <c r="F771" s="176"/>
      <c r="G771" s="176"/>
    </row>
    <row r="772">
      <c r="F772" s="176"/>
      <c r="G772" s="176"/>
    </row>
    <row r="773">
      <c r="F773" s="176"/>
      <c r="G773" s="176"/>
    </row>
    <row r="774">
      <c r="F774" s="176"/>
      <c r="G774" s="176"/>
    </row>
    <row r="775">
      <c r="F775" s="176"/>
      <c r="G775" s="176"/>
    </row>
    <row r="776">
      <c r="F776" s="176"/>
      <c r="G776" s="176"/>
    </row>
    <row r="777">
      <c r="F777" s="176"/>
      <c r="G777" s="176"/>
    </row>
    <row r="778">
      <c r="F778" s="176"/>
      <c r="G778" s="176"/>
    </row>
    <row r="779">
      <c r="F779" s="176"/>
      <c r="G779" s="176"/>
    </row>
    <row r="780">
      <c r="F780" s="176"/>
      <c r="G780" s="176"/>
    </row>
    <row r="781">
      <c r="F781" s="176"/>
      <c r="G781" s="176"/>
    </row>
    <row r="782">
      <c r="F782" s="176"/>
      <c r="G782" s="176"/>
    </row>
    <row r="783">
      <c r="F783" s="176"/>
      <c r="G783" s="176"/>
    </row>
    <row r="784">
      <c r="F784" s="176"/>
      <c r="G784" s="176"/>
    </row>
    <row r="785">
      <c r="F785" s="176"/>
      <c r="G785" s="176"/>
    </row>
    <row r="786">
      <c r="F786" s="176"/>
      <c r="G786" s="176"/>
    </row>
    <row r="787">
      <c r="F787" s="176"/>
      <c r="G787" s="176"/>
    </row>
    <row r="788">
      <c r="F788" s="176"/>
      <c r="G788" s="176"/>
    </row>
    <row r="789">
      <c r="F789" s="176"/>
      <c r="G789" s="176"/>
    </row>
    <row r="790">
      <c r="F790" s="176"/>
      <c r="G790" s="176"/>
    </row>
    <row r="791">
      <c r="F791" s="176"/>
      <c r="G791" s="176"/>
    </row>
    <row r="792">
      <c r="F792" s="176"/>
      <c r="G792" s="176"/>
    </row>
    <row r="793">
      <c r="F793" s="176"/>
      <c r="G793" s="176"/>
    </row>
    <row r="794">
      <c r="F794" s="176"/>
      <c r="G794" s="176"/>
    </row>
    <row r="795">
      <c r="F795" s="176"/>
      <c r="G795" s="176"/>
    </row>
    <row r="796">
      <c r="F796" s="176"/>
      <c r="G796" s="176"/>
    </row>
    <row r="797">
      <c r="F797" s="176"/>
      <c r="G797" s="176"/>
    </row>
    <row r="798">
      <c r="F798" s="176"/>
      <c r="G798" s="176"/>
    </row>
    <row r="799">
      <c r="F799" s="176"/>
      <c r="G799" s="176"/>
    </row>
    <row r="800">
      <c r="F800" s="176"/>
      <c r="G800" s="176"/>
    </row>
    <row r="801">
      <c r="F801" s="176"/>
      <c r="G801" s="176"/>
    </row>
    <row r="802">
      <c r="F802" s="176"/>
      <c r="G802" s="176"/>
    </row>
    <row r="803">
      <c r="F803" s="176"/>
      <c r="G803" s="176"/>
    </row>
    <row r="804">
      <c r="F804" s="176"/>
      <c r="G804" s="176"/>
    </row>
    <row r="805">
      <c r="F805" s="176"/>
      <c r="G805" s="176"/>
    </row>
    <row r="806">
      <c r="F806" s="176"/>
      <c r="G806" s="176"/>
    </row>
    <row r="807">
      <c r="F807" s="176"/>
      <c r="G807" s="176"/>
    </row>
    <row r="808">
      <c r="F808" s="176"/>
      <c r="G808" s="176"/>
    </row>
    <row r="809">
      <c r="F809" s="176"/>
      <c r="G809" s="176"/>
    </row>
    <row r="810">
      <c r="F810" s="176"/>
      <c r="G810" s="176"/>
    </row>
    <row r="811">
      <c r="F811" s="176"/>
      <c r="G811" s="176"/>
    </row>
    <row r="812">
      <c r="F812" s="176"/>
      <c r="G812" s="176"/>
    </row>
    <row r="813">
      <c r="F813" s="176"/>
      <c r="G813" s="176"/>
    </row>
    <row r="814">
      <c r="F814" s="176"/>
      <c r="G814" s="176"/>
    </row>
    <row r="815">
      <c r="F815" s="176"/>
      <c r="G815" s="176"/>
    </row>
    <row r="816">
      <c r="F816" s="176"/>
      <c r="G816" s="176"/>
    </row>
    <row r="817">
      <c r="F817" s="176"/>
      <c r="G817" s="176"/>
    </row>
    <row r="818">
      <c r="F818" s="176"/>
      <c r="G818" s="176"/>
    </row>
    <row r="819">
      <c r="F819" s="176"/>
      <c r="G819" s="176"/>
    </row>
    <row r="820">
      <c r="F820" s="176"/>
      <c r="G820" s="176"/>
    </row>
    <row r="821">
      <c r="F821" s="176"/>
      <c r="G821" s="176"/>
    </row>
    <row r="822">
      <c r="F822" s="176"/>
      <c r="G822" s="176"/>
    </row>
    <row r="823">
      <c r="F823" s="176"/>
      <c r="G823" s="176"/>
    </row>
    <row r="824">
      <c r="F824" s="176"/>
      <c r="G824" s="176"/>
    </row>
    <row r="825">
      <c r="F825" s="176"/>
      <c r="G825" s="176"/>
    </row>
    <row r="826">
      <c r="F826" s="176"/>
      <c r="G826" s="176"/>
    </row>
    <row r="827">
      <c r="F827" s="176"/>
      <c r="G827" s="176"/>
    </row>
    <row r="828">
      <c r="F828" s="176"/>
      <c r="G828" s="176"/>
    </row>
    <row r="829">
      <c r="F829" s="176"/>
      <c r="G829" s="176"/>
    </row>
    <row r="830">
      <c r="F830" s="176"/>
      <c r="G830" s="176"/>
    </row>
    <row r="831">
      <c r="F831" s="176"/>
      <c r="G831" s="176"/>
    </row>
    <row r="832">
      <c r="F832" s="176"/>
      <c r="G832" s="176"/>
    </row>
    <row r="833">
      <c r="F833" s="176"/>
      <c r="G833" s="176"/>
    </row>
    <row r="834">
      <c r="F834" s="176"/>
      <c r="G834" s="176"/>
    </row>
    <row r="835">
      <c r="F835" s="176"/>
      <c r="G835" s="176"/>
    </row>
    <row r="836">
      <c r="F836" s="176"/>
      <c r="G836" s="176"/>
    </row>
    <row r="837">
      <c r="F837" s="176"/>
      <c r="G837" s="176"/>
    </row>
    <row r="838">
      <c r="F838" s="176"/>
      <c r="G838" s="176"/>
    </row>
    <row r="839">
      <c r="F839" s="176"/>
      <c r="G839" s="176"/>
    </row>
    <row r="840">
      <c r="F840" s="176"/>
      <c r="G840" s="176"/>
    </row>
    <row r="841">
      <c r="F841" s="176"/>
      <c r="G841" s="176"/>
    </row>
    <row r="842">
      <c r="F842" s="176"/>
      <c r="G842" s="176"/>
    </row>
    <row r="843">
      <c r="F843" s="176"/>
      <c r="G843" s="176"/>
    </row>
    <row r="844">
      <c r="F844" s="176"/>
      <c r="G844" s="176"/>
    </row>
    <row r="845">
      <c r="F845" s="176"/>
      <c r="G845" s="176"/>
    </row>
    <row r="846">
      <c r="F846" s="176"/>
      <c r="G846" s="176"/>
    </row>
    <row r="847">
      <c r="F847" s="176"/>
      <c r="G847" s="176"/>
    </row>
    <row r="848">
      <c r="F848" s="176"/>
      <c r="G848" s="176"/>
    </row>
    <row r="849">
      <c r="F849" s="176"/>
      <c r="G849" s="176"/>
    </row>
    <row r="850">
      <c r="F850" s="176"/>
      <c r="G850" s="176"/>
    </row>
    <row r="851">
      <c r="F851" s="176"/>
      <c r="G851" s="176"/>
    </row>
    <row r="852">
      <c r="F852" s="176"/>
      <c r="G852" s="176"/>
    </row>
    <row r="853">
      <c r="F853" s="176"/>
      <c r="G853" s="176"/>
    </row>
    <row r="854">
      <c r="F854" s="176"/>
      <c r="G854" s="176"/>
    </row>
    <row r="855">
      <c r="F855" s="176"/>
      <c r="G855" s="176"/>
    </row>
    <row r="856">
      <c r="F856" s="176"/>
      <c r="G856" s="176"/>
    </row>
    <row r="857">
      <c r="F857" s="176"/>
      <c r="G857" s="176"/>
    </row>
    <row r="858">
      <c r="F858" s="176"/>
      <c r="G858" s="176"/>
    </row>
    <row r="859">
      <c r="F859" s="176"/>
      <c r="G859" s="176"/>
    </row>
    <row r="860">
      <c r="F860" s="176"/>
      <c r="G860" s="176"/>
    </row>
    <row r="861">
      <c r="F861" s="176"/>
      <c r="G861" s="176"/>
    </row>
    <row r="862">
      <c r="F862" s="176"/>
      <c r="G862" s="176"/>
    </row>
    <row r="863">
      <c r="F863" s="176"/>
      <c r="G863" s="176"/>
    </row>
    <row r="864">
      <c r="F864" s="176"/>
      <c r="G864" s="176"/>
    </row>
    <row r="865">
      <c r="F865" s="176"/>
      <c r="G865" s="176"/>
    </row>
    <row r="866">
      <c r="F866" s="176"/>
      <c r="G866" s="176"/>
    </row>
    <row r="867">
      <c r="F867" s="176"/>
      <c r="G867" s="176"/>
    </row>
    <row r="868">
      <c r="F868" s="176"/>
      <c r="G868" s="176"/>
    </row>
    <row r="869">
      <c r="F869" s="176"/>
      <c r="G869" s="176"/>
    </row>
    <row r="870">
      <c r="F870" s="176"/>
      <c r="G870" s="176"/>
    </row>
    <row r="871">
      <c r="F871" s="176"/>
      <c r="G871" s="176"/>
    </row>
    <row r="872">
      <c r="F872" s="176"/>
      <c r="G872" s="176"/>
    </row>
    <row r="873">
      <c r="F873" s="176"/>
      <c r="G873" s="176"/>
    </row>
    <row r="874">
      <c r="F874" s="176"/>
      <c r="G874" s="176"/>
    </row>
    <row r="875">
      <c r="F875" s="176"/>
      <c r="G875" s="176"/>
    </row>
    <row r="876">
      <c r="F876" s="176"/>
      <c r="G876" s="176"/>
    </row>
    <row r="877">
      <c r="F877" s="176"/>
      <c r="G877" s="176"/>
    </row>
    <row r="878">
      <c r="F878" s="176"/>
      <c r="G878" s="176"/>
    </row>
    <row r="879">
      <c r="F879" s="176"/>
      <c r="G879" s="176"/>
    </row>
    <row r="880">
      <c r="F880" s="176"/>
      <c r="G880" s="176"/>
    </row>
    <row r="881">
      <c r="F881" s="176"/>
      <c r="G881" s="176"/>
    </row>
    <row r="882">
      <c r="F882" s="176"/>
      <c r="G882" s="176"/>
    </row>
    <row r="883">
      <c r="F883" s="176"/>
      <c r="G883" s="176"/>
    </row>
    <row r="884">
      <c r="F884" s="176"/>
      <c r="G884" s="176"/>
    </row>
    <row r="885">
      <c r="F885" s="176"/>
      <c r="G885" s="176"/>
    </row>
    <row r="886">
      <c r="F886" s="176"/>
      <c r="G886" s="176"/>
    </row>
    <row r="887">
      <c r="F887" s="176"/>
      <c r="G887" s="176"/>
    </row>
    <row r="888">
      <c r="F888" s="176"/>
      <c r="G888" s="176"/>
    </row>
    <row r="889">
      <c r="F889" s="176"/>
      <c r="G889" s="176"/>
    </row>
    <row r="890">
      <c r="F890" s="176"/>
      <c r="G890" s="176"/>
    </row>
    <row r="891">
      <c r="F891" s="176"/>
      <c r="G891" s="176"/>
    </row>
    <row r="892">
      <c r="F892" s="176"/>
      <c r="G892" s="176"/>
    </row>
    <row r="893">
      <c r="F893" s="176"/>
      <c r="G893" s="176"/>
    </row>
    <row r="894">
      <c r="F894" s="176"/>
      <c r="G894" s="176"/>
    </row>
    <row r="895">
      <c r="F895" s="176"/>
      <c r="G895" s="176"/>
    </row>
    <row r="896">
      <c r="F896" s="176"/>
      <c r="G896" s="176"/>
    </row>
    <row r="897">
      <c r="F897" s="176"/>
      <c r="G897" s="176"/>
    </row>
    <row r="898">
      <c r="F898" s="176"/>
      <c r="G898" s="176"/>
    </row>
    <row r="899">
      <c r="F899" s="176"/>
      <c r="G899" s="176"/>
    </row>
    <row r="900">
      <c r="F900" s="176"/>
      <c r="G900" s="176"/>
    </row>
    <row r="901">
      <c r="F901" s="176"/>
      <c r="G901" s="176"/>
    </row>
    <row r="902">
      <c r="F902" s="176"/>
      <c r="G902" s="176"/>
    </row>
    <row r="903">
      <c r="F903" s="176"/>
      <c r="G903" s="176"/>
    </row>
    <row r="904">
      <c r="F904" s="176"/>
      <c r="G904" s="176"/>
    </row>
    <row r="905">
      <c r="F905" s="176"/>
      <c r="G905" s="176"/>
    </row>
    <row r="906">
      <c r="F906" s="176"/>
      <c r="G906" s="176"/>
    </row>
    <row r="907">
      <c r="F907" s="176"/>
      <c r="G907" s="176"/>
    </row>
    <row r="908">
      <c r="F908" s="176"/>
      <c r="G908" s="176"/>
    </row>
    <row r="909">
      <c r="F909" s="176"/>
      <c r="G909" s="176"/>
    </row>
    <row r="910">
      <c r="F910" s="176"/>
      <c r="G910" s="176"/>
    </row>
    <row r="911">
      <c r="F911" s="176"/>
      <c r="G911" s="176"/>
    </row>
    <row r="912">
      <c r="F912" s="176"/>
      <c r="G912" s="176"/>
    </row>
    <row r="913">
      <c r="F913" s="176"/>
      <c r="G913" s="176"/>
    </row>
    <row r="914">
      <c r="F914" s="176"/>
      <c r="G914" s="176"/>
    </row>
    <row r="915">
      <c r="F915" s="176"/>
      <c r="G915" s="176"/>
    </row>
    <row r="916">
      <c r="F916" s="176"/>
      <c r="G916" s="176"/>
    </row>
    <row r="917">
      <c r="F917" s="176"/>
      <c r="G917" s="176"/>
    </row>
    <row r="918">
      <c r="F918" s="176"/>
      <c r="G918" s="176"/>
    </row>
    <row r="919">
      <c r="F919" s="176"/>
      <c r="G919" s="176"/>
    </row>
    <row r="920">
      <c r="F920" s="176"/>
      <c r="G920" s="176"/>
    </row>
    <row r="921">
      <c r="F921" s="176"/>
      <c r="G921" s="176"/>
    </row>
    <row r="922">
      <c r="F922" s="176"/>
      <c r="G922" s="176"/>
    </row>
    <row r="923">
      <c r="F923" s="176"/>
      <c r="G923" s="176"/>
    </row>
    <row r="924">
      <c r="F924" s="176"/>
      <c r="G924" s="176"/>
    </row>
    <row r="925">
      <c r="F925" s="176"/>
      <c r="G925" s="176"/>
    </row>
    <row r="926">
      <c r="F926" s="176"/>
      <c r="G926" s="176"/>
    </row>
    <row r="927">
      <c r="F927" s="176"/>
      <c r="G927" s="176"/>
    </row>
    <row r="928">
      <c r="F928" s="176"/>
      <c r="G928" s="176"/>
    </row>
    <row r="929">
      <c r="F929" s="176"/>
      <c r="G929" s="176"/>
    </row>
    <row r="930">
      <c r="F930" s="176"/>
      <c r="G930" s="176"/>
    </row>
    <row r="931">
      <c r="F931" s="176"/>
      <c r="G931" s="176"/>
    </row>
    <row r="932">
      <c r="F932" s="176"/>
      <c r="G932" s="176"/>
    </row>
    <row r="933">
      <c r="F933" s="176"/>
      <c r="G933" s="176"/>
    </row>
    <row r="934">
      <c r="F934" s="176"/>
      <c r="G934" s="176"/>
    </row>
    <row r="935">
      <c r="F935" s="176"/>
      <c r="G935" s="176"/>
    </row>
    <row r="936">
      <c r="F936" s="176"/>
      <c r="G936" s="176"/>
    </row>
    <row r="937">
      <c r="F937" s="176"/>
      <c r="G937" s="176"/>
    </row>
    <row r="938">
      <c r="F938" s="176"/>
      <c r="G938" s="176"/>
    </row>
    <row r="939">
      <c r="F939" s="176"/>
      <c r="G939" s="176"/>
    </row>
    <row r="940">
      <c r="F940" s="176"/>
      <c r="G940" s="176"/>
    </row>
    <row r="941">
      <c r="F941" s="176"/>
      <c r="G941" s="176"/>
    </row>
    <row r="942">
      <c r="F942" s="176"/>
      <c r="G942" s="176"/>
    </row>
    <row r="943">
      <c r="F943" s="176"/>
      <c r="G943" s="176"/>
    </row>
    <row r="944">
      <c r="F944" s="176"/>
      <c r="G944" s="176"/>
    </row>
    <row r="945">
      <c r="F945" s="176"/>
      <c r="G945" s="176"/>
    </row>
    <row r="946">
      <c r="F946" s="176"/>
      <c r="G946" s="176"/>
    </row>
    <row r="947">
      <c r="F947" s="176"/>
      <c r="G947" s="176"/>
    </row>
    <row r="948">
      <c r="F948" s="176"/>
      <c r="G948" s="176"/>
    </row>
    <row r="949">
      <c r="F949" s="176"/>
      <c r="G949" s="176"/>
    </row>
    <row r="950">
      <c r="F950" s="176"/>
      <c r="G950" s="176"/>
    </row>
    <row r="951">
      <c r="F951" s="176"/>
      <c r="G951" s="176"/>
    </row>
    <row r="952">
      <c r="F952" s="176"/>
      <c r="G952" s="176"/>
    </row>
    <row r="953">
      <c r="F953" s="176"/>
      <c r="G953" s="176"/>
    </row>
    <row r="954">
      <c r="F954" s="176"/>
      <c r="G954" s="176"/>
    </row>
    <row r="955">
      <c r="F955" s="176"/>
      <c r="G955" s="176"/>
    </row>
    <row r="956">
      <c r="F956" s="176"/>
      <c r="G956" s="176"/>
    </row>
    <row r="957">
      <c r="F957" s="176"/>
      <c r="G957" s="176"/>
    </row>
    <row r="958">
      <c r="F958" s="176"/>
      <c r="G958" s="176"/>
    </row>
    <row r="959">
      <c r="F959" s="176"/>
      <c r="G959" s="176"/>
    </row>
    <row r="960">
      <c r="F960" s="176"/>
      <c r="G960" s="176"/>
    </row>
    <row r="961">
      <c r="F961" s="176"/>
      <c r="G961" s="176"/>
    </row>
    <row r="962">
      <c r="F962" s="176"/>
      <c r="G962" s="176"/>
    </row>
    <row r="963">
      <c r="F963" s="176"/>
      <c r="G963" s="176"/>
    </row>
    <row r="964">
      <c r="F964" s="176"/>
      <c r="G964" s="176"/>
    </row>
    <row r="965">
      <c r="F965" s="176"/>
      <c r="G965" s="176"/>
    </row>
    <row r="966">
      <c r="F966" s="176"/>
      <c r="G966" s="176"/>
    </row>
    <row r="967">
      <c r="F967" s="176"/>
      <c r="G967" s="176"/>
    </row>
    <row r="968">
      <c r="F968" s="176"/>
      <c r="G968" s="176"/>
    </row>
    <row r="969">
      <c r="F969" s="176"/>
      <c r="G969" s="176"/>
    </row>
    <row r="970">
      <c r="F970" s="176"/>
      <c r="G970" s="176"/>
    </row>
    <row r="971">
      <c r="F971" s="176"/>
      <c r="G971" s="176"/>
    </row>
    <row r="972">
      <c r="F972" s="176"/>
      <c r="G972" s="176"/>
    </row>
    <row r="973">
      <c r="F973" s="176"/>
      <c r="G973" s="176"/>
    </row>
    <row r="974">
      <c r="F974" s="176"/>
      <c r="G974" s="176"/>
    </row>
    <row r="975">
      <c r="F975" s="176"/>
      <c r="G975" s="176"/>
    </row>
    <row r="976">
      <c r="F976" s="176"/>
      <c r="G976" s="176"/>
    </row>
    <row r="977">
      <c r="F977" s="176"/>
      <c r="G977" s="176"/>
    </row>
    <row r="978">
      <c r="F978" s="176"/>
      <c r="G978" s="176"/>
    </row>
    <row r="979">
      <c r="F979" s="176"/>
      <c r="G979" s="176"/>
    </row>
    <row r="980">
      <c r="F980" s="176"/>
      <c r="G980" s="176"/>
    </row>
    <row r="981">
      <c r="F981" s="176"/>
      <c r="G981" s="176"/>
    </row>
    <row r="982">
      <c r="F982" s="176"/>
      <c r="G982" s="176"/>
    </row>
    <row r="983">
      <c r="F983" s="176"/>
      <c r="G983" s="176"/>
    </row>
    <row r="984">
      <c r="F984" s="176"/>
      <c r="G984" s="176"/>
    </row>
    <row r="985">
      <c r="F985" s="176"/>
      <c r="G985" s="176"/>
    </row>
    <row r="986">
      <c r="F986" s="176"/>
      <c r="G986" s="176"/>
    </row>
    <row r="987">
      <c r="F987" s="176"/>
      <c r="G987" s="176"/>
    </row>
    <row r="988">
      <c r="F988" s="176"/>
      <c r="G988" s="176"/>
    </row>
    <row r="989">
      <c r="F989" s="176"/>
      <c r="G989" s="176"/>
    </row>
    <row r="990">
      <c r="F990" s="176"/>
      <c r="G990" s="176"/>
    </row>
    <row r="991">
      <c r="F991" s="176"/>
      <c r="G991" s="176"/>
    </row>
    <row r="992">
      <c r="F992" s="176"/>
      <c r="G992" s="176"/>
    </row>
    <row r="993">
      <c r="F993" s="176"/>
      <c r="G993" s="176"/>
    </row>
    <row r="994">
      <c r="F994" s="176"/>
      <c r="G994" s="176"/>
    </row>
    <row r="995">
      <c r="F995" s="176"/>
      <c r="G995" s="176"/>
    </row>
    <row r="996">
      <c r="F996" s="176"/>
      <c r="G996" s="176"/>
    </row>
    <row r="997">
      <c r="F997" s="176"/>
      <c r="G997" s="176"/>
    </row>
    <row r="998">
      <c r="F998" s="176"/>
      <c r="G998" s="176"/>
    </row>
    <row r="999">
      <c r="F999" s="176"/>
      <c r="G999" s="176"/>
    </row>
    <row r="1000">
      <c r="F1000" s="176"/>
      <c r="G1000" s="176"/>
    </row>
  </sheetData>
  <mergeCells count="2">
    <mergeCell ref="B3:E3"/>
    <mergeCell ref="B257:E257"/>
  </mergeCells>
  <dataValidations>
    <dataValidation type="list" allowBlank="1" showErrorMessage="1" sqref="E5:E254 E259:E508">
      <formula1>"ACTIVO ,BLOQUEADO,SUSPENDIDO,PERDIDO"</formula1>
    </dataValidation>
  </dataValidations>
  <drawing r:id="rId1"/>
  <tableParts count="2">
    <tablePart r:id="rId4"/>
    <tablePart r:id="rId5"/>
  </tableParts>
</worksheet>
</file>